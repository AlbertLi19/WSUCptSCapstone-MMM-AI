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n\Downloads\"/>
    </mc:Choice>
  </mc:AlternateContent>
  <xr:revisionPtr revIDLastSave="0" documentId="8_{3E0F55A2-A7B3-4EDE-82A4-56EB7EC7CF43}" xr6:coauthVersionLast="47" xr6:coauthVersionMax="47" xr10:uidLastSave="{00000000-0000-0000-0000-000000000000}"/>
  <bookViews>
    <workbookView xWindow="-108" yWindow="-108" windowWidth="23256" windowHeight="12456" activeTab="3" xr2:uid="{CB0FB850-90EC-42CB-B438-85AE7E864B33}"/>
  </bookViews>
  <sheets>
    <sheet name="Off" sheetId="1" r:id="rId1"/>
    <sheet name="415 nm" sheetId="2" r:id="rId2"/>
    <sheet name="255 nm" sheetId="3" r:id="rId3"/>
    <sheet name="470 n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4" i="4" l="1"/>
  <c r="O27" i="4"/>
  <c r="B35" i="4"/>
  <c r="A35" i="4"/>
  <c r="A34" i="4"/>
  <c r="C31" i="4"/>
  <c r="C30" i="4"/>
  <c r="N29" i="4"/>
  <c r="J29" i="4"/>
  <c r="K29" i="4" s="1"/>
  <c r="L29" i="4" s="1"/>
  <c r="F29" i="4"/>
  <c r="G29" i="4" s="1"/>
  <c r="D29" i="4"/>
  <c r="H29" i="4" s="1"/>
  <c r="C29" i="4"/>
  <c r="O28" i="4"/>
  <c r="N28" i="4"/>
  <c r="J28" i="4"/>
  <c r="K28" i="4" s="1"/>
  <c r="L28" i="4" s="1"/>
  <c r="H28" i="4"/>
  <c r="M28" i="4" s="1"/>
  <c r="F28" i="4"/>
  <c r="G28" i="4" s="1"/>
  <c r="D28" i="4"/>
  <c r="C28" i="4"/>
  <c r="N27" i="4"/>
  <c r="J27" i="4"/>
  <c r="K27" i="4" s="1"/>
  <c r="L27" i="4" s="1"/>
  <c r="F27" i="4"/>
  <c r="G27" i="4" s="1"/>
  <c r="D27" i="4"/>
  <c r="H27" i="4" s="1"/>
  <c r="C27" i="4"/>
  <c r="N26" i="4"/>
  <c r="K26" i="4"/>
  <c r="L26" i="4" s="1"/>
  <c r="J26" i="4"/>
  <c r="F26" i="4"/>
  <c r="G26" i="4" s="1"/>
  <c r="D26" i="4"/>
  <c r="H26" i="4" s="1"/>
  <c r="C26" i="4"/>
  <c r="N25" i="4"/>
  <c r="J25" i="4"/>
  <c r="K25" i="4" s="1"/>
  <c r="L25" i="4" s="1"/>
  <c r="H25" i="4"/>
  <c r="G25" i="4"/>
  <c r="F25" i="4"/>
  <c r="D25" i="4"/>
  <c r="C25" i="4"/>
  <c r="N24" i="4"/>
  <c r="J24" i="4"/>
  <c r="K24" i="4" s="1"/>
  <c r="L24" i="4" s="1"/>
  <c r="F24" i="4"/>
  <c r="G24" i="4" s="1"/>
  <c r="D24" i="4"/>
  <c r="H24" i="4" s="1"/>
  <c r="C24" i="4"/>
  <c r="O23" i="4"/>
  <c r="N23" i="4"/>
  <c r="M23" i="4"/>
  <c r="J23" i="4"/>
  <c r="K23" i="4" s="1"/>
  <c r="L23" i="4" s="1"/>
  <c r="H23" i="4"/>
  <c r="F23" i="4"/>
  <c r="G23" i="4" s="1"/>
  <c r="D23" i="4"/>
  <c r="C23" i="4"/>
  <c r="N22" i="4"/>
  <c r="J22" i="4"/>
  <c r="K22" i="4" s="1"/>
  <c r="L22" i="4" s="1"/>
  <c r="F22" i="4"/>
  <c r="G22" i="4" s="1"/>
  <c r="D22" i="4"/>
  <c r="H22" i="4" s="1"/>
  <c r="C22" i="4"/>
  <c r="N21" i="4"/>
  <c r="M21" i="4"/>
  <c r="L21" i="4"/>
  <c r="K21" i="4"/>
  <c r="J21" i="4"/>
  <c r="F21" i="4"/>
  <c r="G21" i="4" s="1"/>
  <c r="D21" i="4"/>
  <c r="H21" i="4" s="1"/>
  <c r="O21" i="4" s="1"/>
  <c r="C21" i="4"/>
  <c r="N20" i="4"/>
  <c r="J20" i="4"/>
  <c r="K20" i="4" s="1"/>
  <c r="L20" i="4" s="1"/>
  <c r="F20" i="4"/>
  <c r="G20" i="4" s="1"/>
  <c r="D20" i="4"/>
  <c r="H20" i="4" s="1"/>
  <c r="C20" i="4"/>
  <c r="O19" i="4"/>
  <c r="N19" i="4"/>
  <c r="M19" i="4"/>
  <c r="K19" i="4"/>
  <c r="L19" i="4" s="1"/>
  <c r="J19" i="4"/>
  <c r="H19" i="4"/>
  <c r="G19" i="4"/>
  <c r="F19" i="4"/>
  <c r="D19" i="4"/>
  <c r="C19" i="4"/>
  <c r="N18" i="4"/>
  <c r="J18" i="4"/>
  <c r="K18" i="4" s="1"/>
  <c r="L18" i="4" s="1"/>
  <c r="F18" i="4"/>
  <c r="G18" i="4" s="1"/>
  <c r="D18" i="4"/>
  <c r="H18" i="4" s="1"/>
  <c r="C18" i="4"/>
  <c r="N17" i="4"/>
  <c r="J17" i="4"/>
  <c r="K17" i="4" s="1"/>
  <c r="L17" i="4" s="1"/>
  <c r="F17" i="4"/>
  <c r="G17" i="4" s="1"/>
  <c r="D17" i="4"/>
  <c r="H17" i="4" s="1"/>
  <c r="C17" i="4"/>
  <c r="N16" i="4"/>
  <c r="J16" i="4"/>
  <c r="K16" i="4" s="1"/>
  <c r="L16" i="4" s="1"/>
  <c r="H16" i="4"/>
  <c r="O16" i="4" s="1"/>
  <c r="F16" i="4"/>
  <c r="G16" i="4" s="1"/>
  <c r="D16" i="4"/>
  <c r="C16" i="4"/>
  <c r="N15" i="4"/>
  <c r="J15" i="4"/>
  <c r="K15" i="4" s="1"/>
  <c r="L15" i="4" s="1"/>
  <c r="F15" i="4"/>
  <c r="G15" i="4" s="1"/>
  <c r="D15" i="4"/>
  <c r="H15" i="4" s="1"/>
  <c r="C15" i="4"/>
  <c r="N14" i="4"/>
  <c r="J14" i="4"/>
  <c r="K14" i="4" s="1"/>
  <c r="L14" i="4" s="1"/>
  <c r="H14" i="4"/>
  <c r="G14" i="4"/>
  <c r="F14" i="4"/>
  <c r="D14" i="4"/>
  <c r="C14" i="4"/>
  <c r="N13" i="4"/>
  <c r="J13" i="4"/>
  <c r="K13" i="4" s="1"/>
  <c r="L13" i="4" s="1"/>
  <c r="F13" i="4"/>
  <c r="G13" i="4" s="1"/>
  <c r="D13" i="4"/>
  <c r="H13" i="4" s="1"/>
  <c r="C13" i="4"/>
  <c r="N12" i="4"/>
  <c r="K12" i="4"/>
  <c r="L12" i="4" s="1"/>
  <c r="J12" i="4"/>
  <c r="G12" i="4"/>
  <c r="F12" i="4"/>
  <c r="D12" i="4"/>
  <c r="H12" i="4" s="1"/>
  <c r="C12" i="4"/>
  <c r="N11" i="4"/>
  <c r="J11" i="4"/>
  <c r="K11" i="4" s="1"/>
  <c r="L11" i="4" s="1"/>
  <c r="F11" i="4"/>
  <c r="G11" i="4" s="1"/>
  <c r="D11" i="4"/>
  <c r="H11" i="4" s="1"/>
  <c r="C11" i="4"/>
  <c r="O10" i="4"/>
  <c r="N10" i="4"/>
  <c r="M10" i="4"/>
  <c r="J10" i="4"/>
  <c r="K10" i="4" s="1"/>
  <c r="L10" i="4" s="1"/>
  <c r="H10" i="4"/>
  <c r="F10" i="4"/>
  <c r="G10" i="4" s="1"/>
  <c r="D10" i="4"/>
  <c r="C10" i="4"/>
  <c r="N9" i="4"/>
  <c r="J9" i="4"/>
  <c r="K9" i="4" s="1"/>
  <c r="L9" i="4" s="1"/>
  <c r="F9" i="4"/>
  <c r="G9" i="4" s="1"/>
  <c r="D9" i="4"/>
  <c r="H9" i="4" s="1"/>
  <c r="C9" i="4"/>
  <c r="O8" i="4"/>
  <c r="N8" i="4"/>
  <c r="J8" i="4"/>
  <c r="K8" i="4" s="1"/>
  <c r="L8" i="4" s="1"/>
  <c r="H8" i="4"/>
  <c r="M8" i="4" s="1"/>
  <c r="F8" i="4"/>
  <c r="G8" i="4" s="1"/>
  <c r="D8" i="4"/>
  <c r="C8" i="4"/>
  <c r="N7" i="4"/>
  <c r="J7" i="4"/>
  <c r="K7" i="4" s="1"/>
  <c r="L7" i="4" s="1"/>
  <c r="F7" i="4"/>
  <c r="G7" i="4" s="1"/>
  <c r="D7" i="4"/>
  <c r="H7" i="4" s="1"/>
  <c r="C7" i="4"/>
  <c r="N6" i="4"/>
  <c r="K6" i="4"/>
  <c r="L6" i="4" s="1"/>
  <c r="J6" i="4"/>
  <c r="F6" i="4"/>
  <c r="G6" i="4" s="1"/>
  <c r="D6" i="4"/>
  <c r="H6" i="4" s="1"/>
  <c r="C6" i="4"/>
  <c r="N5" i="4"/>
  <c r="J5" i="4"/>
  <c r="K5" i="4" s="1"/>
  <c r="L5" i="4" s="1"/>
  <c r="H5" i="4"/>
  <c r="O5" i="4" s="1"/>
  <c r="G5" i="4"/>
  <c r="F5" i="4"/>
  <c r="D5" i="4"/>
  <c r="C5" i="4"/>
  <c r="N4" i="4"/>
  <c r="J4" i="4"/>
  <c r="K4" i="4" s="1"/>
  <c r="L4" i="4" s="1"/>
  <c r="F4" i="4"/>
  <c r="G4" i="4" s="1"/>
  <c r="D4" i="4"/>
  <c r="H4" i="4" s="1"/>
  <c r="C4" i="4"/>
  <c r="O3" i="4"/>
  <c r="N3" i="4"/>
  <c r="M3" i="4"/>
  <c r="J3" i="4"/>
  <c r="K3" i="4" s="1"/>
  <c r="L3" i="4" s="1"/>
  <c r="H3" i="4"/>
  <c r="F3" i="4"/>
  <c r="G3" i="4" s="1"/>
  <c r="D3" i="4"/>
  <c r="C3" i="4"/>
  <c r="N2" i="4"/>
  <c r="J2" i="4"/>
  <c r="K2" i="4" s="1"/>
  <c r="L2" i="4" s="1"/>
  <c r="F2" i="4"/>
  <c r="G2" i="4" s="1"/>
  <c r="D2" i="4"/>
  <c r="H2" i="4" s="1"/>
  <c r="C2" i="4"/>
  <c r="C35" i="4" s="1"/>
  <c r="O19" i="2"/>
  <c r="B32" i="2"/>
  <c r="B34" i="3"/>
  <c r="O2" i="3"/>
  <c r="B35" i="3"/>
  <c r="A35" i="3"/>
  <c r="A34" i="3"/>
  <c r="C31" i="3"/>
  <c r="C30" i="3"/>
  <c r="N29" i="3"/>
  <c r="J29" i="3"/>
  <c r="K29" i="3" s="1"/>
  <c r="L29" i="3" s="1"/>
  <c r="F29" i="3"/>
  <c r="G29" i="3" s="1"/>
  <c r="D29" i="3"/>
  <c r="H29" i="3" s="1"/>
  <c r="C29" i="3"/>
  <c r="N28" i="3"/>
  <c r="J28" i="3"/>
  <c r="K28" i="3" s="1"/>
  <c r="L28" i="3" s="1"/>
  <c r="F28" i="3"/>
  <c r="G28" i="3" s="1"/>
  <c r="D28" i="3"/>
  <c r="H28" i="3" s="1"/>
  <c r="C28" i="3"/>
  <c r="N27" i="3"/>
  <c r="J27" i="3"/>
  <c r="K27" i="3" s="1"/>
  <c r="L27" i="3" s="1"/>
  <c r="H27" i="3"/>
  <c r="O27" i="3" s="1"/>
  <c r="G27" i="3"/>
  <c r="F27" i="3"/>
  <c r="D27" i="3"/>
  <c r="C27" i="3"/>
  <c r="N26" i="3"/>
  <c r="J26" i="3"/>
  <c r="K26" i="3" s="1"/>
  <c r="L26" i="3" s="1"/>
  <c r="G26" i="3"/>
  <c r="F26" i="3"/>
  <c r="D26" i="3"/>
  <c r="H26" i="3" s="1"/>
  <c r="C26" i="3"/>
  <c r="O25" i="3"/>
  <c r="N25" i="3"/>
  <c r="M25" i="3"/>
  <c r="J25" i="3"/>
  <c r="K25" i="3" s="1"/>
  <c r="L25" i="3" s="1"/>
  <c r="H25" i="3"/>
  <c r="G25" i="3"/>
  <c r="F25" i="3"/>
  <c r="D25" i="3"/>
  <c r="C25" i="3"/>
  <c r="N24" i="3"/>
  <c r="J24" i="3"/>
  <c r="K24" i="3" s="1"/>
  <c r="L24" i="3" s="1"/>
  <c r="F24" i="3"/>
  <c r="G24" i="3" s="1"/>
  <c r="D24" i="3"/>
  <c r="H24" i="3" s="1"/>
  <c r="C24" i="3"/>
  <c r="O23" i="3"/>
  <c r="N23" i="3"/>
  <c r="M23" i="3"/>
  <c r="J23" i="3"/>
  <c r="K23" i="3" s="1"/>
  <c r="L23" i="3" s="1"/>
  <c r="H23" i="3"/>
  <c r="G23" i="3"/>
  <c r="F23" i="3"/>
  <c r="D23" i="3"/>
  <c r="C23" i="3"/>
  <c r="N22" i="3"/>
  <c r="J22" i="3"/>
  <c r="K22" i="3" s="1"/>
  <c r="L22" i="3" s="1"/>
  <c r="F22" i="3"/>
  <c r="G22" i="3" s="1"/>
  <c r="D22" i="3"/>
  <c r="H22" i="3" s="1"/>
  <c r="C22" i="3"/>
  <c r="N21" i="3"/>
  <c r="J21" i="3"/>
  <c r="K21" i="3" s="1"/>
  <c r="L21" i="3" s="1"/>
  <c r="F21" i="3"/>
  <c r="G21" i="3" s="1"/>
  <c r="D21" i="3"/>
  <c r="H21" i="3" s="1"/>
  <c r="C21" i="3"/>
  <c r="N20" i="3"/>
  <c r="J20" i="3"/>
  <c r="K20" i="3" s="1"/>
  <c r="L20" i="3" s="1"/>
  <c r="F20" i="3"/>
  <c r="G20" i="3" s="1"/>
  <c r="D20" i="3"/>
  <c r="H20" i="3" s="1"/>
  <c r="C20" i="3"/>
  <c r="N19" i="3"/>
  <c r="L19" i="3"/>
  <c r="K19" i="3"/>
  <c r="J19" i="3"/>
  <c r="F19" i="3"/>
  <c r="G19" i="3" s="1"/>
  <c r="D19" i="3"/>
  <c r="H19" i="3" s="1"/>
  <c r="C19" i="3"/>
  <c r="N18" i="3"/>
  <c r="J18" i="3"/>
  <c r="K18" i="3" s="1"/>
  <c r="L18" i="3" s="1"/>
  <c r="H18" i="3"/>
  <c r="M18" i="3" s="1"/>
  <c r="F18" i="3"/>
  <c r="G18" i="3" s="1"/>
  <c r="D18" i="3"/>
  <c r="C18" i="3"/>
  <c r="N17" i="3"/>
  <c r="J17" i="3"/>
  <c r="K17" i="3" s="1"/>
  <c r="L17" i="3" s="1"/>
  <c r="F17" i="3"/>
  <c r="G17" i="3" s="1"/>
  <c r="D17" i="3"/>
  <c r="H17" i="3" s="1"/>
  <c r="C17" i="3"/>
  <c r="N16" i="3"/>
  <c r="J16" i="3"/>
  <c r="K16" i="3" s="1"/>
  <c r="L16" i="3" s="1"/>
  <c r="H16" i="3"/>
  <c r="M16" i="3" s="1"/>
  <c r="F16" i="3"/>
  <c r="G16" i="3" s="1"/>
  <c r="D16" i="3"/>
  <c r="C16" i="3"/>
  <c r="N15" i="3"/>
  <c r="J15" i="3"/>
  <c r="K15" i="3" s="1"/>
  <c r="L15" i="3" s="1"/>
  <c r="F15" i="3"/>
  <c r="G15" i="3" s="1"/>
  <c r="D15" i="3"/>
  <c r="H15" i="3" s="1"/>
  <c r="C15" i="3"/>
  <c r="O14" i="3"/>
  <c r="N14" i="3"/>
  <c r="M14" i="3"/>
  <c r="K14" i="3"/>
  <c r="L14" i="3" s="1"/>
  <c r="J14" i="3"/>
  <c r="H14" i="3"/>
  <c r="F14" i="3"/>
  <c r="G14" i="3" s="1"/>
  <c r="D14" i="3"/>
  <c r="C14" i="3"/>
  <c r="N13" i="3"/>
  <c r="K13" i="3"/>
  <c r="L13" i="3" s="1"/>
  <c r="J13" i="3"/>
  <c r="F13" i="3"/>
  <c r="G13" i="3" s="1"/>
  <c r="D13" i="3"/>
  <c r="H13" i="3" s="1"/>
  <c r="C13" i="3"/>
  <c r="O12" i="3"/>
  <c r="N12" i="3"/>
  <c r="M12" i="3"/>
  <c r="K12" i="3"/>
  <c r="L12" i="3" s="1"/>
  <c r="J12" i="3"/>
  <c r="H12" i="3"/>
  <c r="G12" i="3"/>
  <c r="F12" i="3"/>
  <c r="D12" i="3"/>
  <c r="C12" i="3"/>
  <c r="N11" i="3"/>
  <c r="J11" i="3"/>
  <c r="K11" i="3" s="1"/>
  <c r="L11" i="3" s="1"/>
  <c r="F11" i="3"/>
  <c r="G11" i="3" s="1"/>
  <c r="D11" i="3"/>
  <c r="H11" i="3" s="1"/>
  <c r="C11" i="3"/>
  <c r="N10" i="3"/>
  <c r="K10" i="3"/>
  <c r="L10" i="3" s="1"/>
  <c r="J10" i="3"/>
  <c r="F10" i="3"/>
  <c r="G10" i="3" s="1"/>
  <c r="D10" i="3"/>
  <c r="H10" i="3" s="1"/>
  <c r="C10" i="3"/>
  <c r="N9" i="3"/>
  <c r="J9" i="3"/>
  <c r="K9" i="3" s="1"/>
  <c r="L9" i="3" s="1"/>
  <c r="F9" i="3"/>
  <c r="G9" i="3" s="1"/>
  <c r="D9" i="3"/>
  <c r="H9" i="3" s="1"/>
  <c r="C9" i="3"/>
  <c r="N8" i="3"/>
  <c r="J8" i="3"/>
  <c r="K8" i="3" s="1"/>
  <c r="L8" i="3" s="1"/>
  <c r="F8" i="3"/>
  <c r="G8" i="3" s="1"/>
  <c r="D8" i="3"/>
  <c r="H8" i="3" s="1"/>
  <c r="C8" i="3"/>
  <c r="N7" i="3"/>
  <c r="J7" i="3"/>
  <c r="K7" i="3" s="1"/>
  <c r="L7" i="3" s="1"/>
  <c r="H7" i="3"/>
  <c r="O7" i="3" s="1"/>
  <c r="G7" i="3"/>
  <c r="F7" i="3"/>
  <c r="D7" i="3"/>
  <c r="C7" i="3"/>
  <c r="N6" i="3"/>
  <c r="J6" i="3"/>
  <c r="K6" i="3" s="1"/>
  <c r="L6" i="3" s="1"/>
  <c r="G6" i="3"/>
  <c r="F6" i="3"/>
  <c r="D6" i="3"/>
  <c r="H6" i="3" s="1"/>
  <c r="C6" i="3"/>
  <c r="O5" i="3"/>
  <c r="N5" i="3"/>
  <c r="M5" i="3"/>
  <c r="J5" i="3"/>
  <c r="K5" i="3" s="1"/>
  <c r="L5" i="3" s="1"/>
  <c r="H5" i="3"/>
  <c r="G5" i="3"/>
  <c r="F5" i="3"/>
  <c r="D5" i="3"/>
  <c r="C5" i="3"/>
  <c r="N4" i="3"/>
  <c r="J4" i="3"/>
  <c r="K4" i="3" s="1"/>
  <c r="L4" i="3" s="1"/>
  <c r="F4" i="3"/>
  <c r="G4" i="3" s="1"/>
  <c r="D4" i="3"/>
  <c r="H4" i="3" s="1"/>
  <c r="C4" i="3"/>
  <c r="O3" i="3"/>
  <c r="N3" i="3"/>
  <c r="M3" i="3"/>
  <c r="J3" i="3"/>
  <c r="K3" i="3" s="1"/>
  <c r="L3" i="3" s="1"/>
  <c r="H3" i="3"/>
  <c r="G3" i="3"/>
  <c r="F3" i="3"/>
  <c r="D3" i="3"/>
  <c r="C3" i="3"/>
  <c r="N2" i="3"/>
  <c r="J2" i="3"/>
  <c r="K2" i="3" s="1"/>
  <c r="L2" i="3" s="1"/>
  <c r="F2" i="3"/>
  <c r="G2" i="3" s="1"/>
  <c r="D2" i="3"/>
  <c r="H2" i="3" s="1"/>
  <c r="C2" i="3"/>
  <c r="C35" i="3" s="1"/>
  <c r="B33" i="2"/>
  <c r="A33" i="2"/>
  <c r="A32" i="2"/>
  <c r="N29" i="2"/>
  <c r="J29" i="2"/>
  <c r="K29" i="2" s="1"/>
  <c r="L29" i="2" s="1"/>
  <c r="F29" i="2"/>
  <c r="G29" i="2" s="1"/>
  <c r="D29" i="2"/>
  <c r="H29" i="2" s="1"/>
  <c r="C29" i="2"/>
  <c r="O28" i="2"/>
  <c r="N28" i="2"/>
  <c r="M28" i="2"/>
  <c r="J28" i="2"/>
  <c r="K28" i="2" s="1"/>
  <c r="L28" i="2" s="1"/>
  <c r="H28" i="2"/>
  <c r="G28" i="2"/>
  <c r="F28" i="2"/>
  <c r="D28" i="2"/>
  <c r="C28" i="2"/>
  <c r="N27" i="2"/>
  <c r="J27" i="2"/>
  <c r="K27" i="2" s="1"/>
  <c r="L27" i="2" s="1"/>
  <c r="F27" i="2"/>
  <c r="G27" i="2" s="1"/>
  <c r="D27" i="2"/>
  <c r="H27" i="2" s="1"/>
  <c r="C27" i="2"/>
  <c r="N26" i="2"/>
  <c r="J26" i="2"/>
  <c r="K26" i="2" s="1"/>
  <c r="L26" i="2" s="1"/>
  <c r="F26" i="2"/>
  <c r="G26" i="2" s="1"/>
  <c r="D26" i="2"/>
  <c r="H26" i="2" s="1"/>
  <c r="C26" i="2"/>
  <c r="N25" i="2"/>
  <c r="J25" i="2"/>
  <c r="K25" i="2" s="1"/>
  <c r="L25" i="2" s="1"/>
  <c r="H25" i="2"/>
  <c r="M25" i="2" s="1"/>
  <c r="G25" i="2"/>
  <c r="F25" i="2"/>
  <c r="D25" i="2"/>
  <c r="C25" i="2"/>
  <c r="N24" i="2"/>
  <c r="L24" i="2"/>
  <c r="K24" i="2"/>
  <c r="J24" i="2"/>
  <c r="F24" i="2"/>
  <c r="G24" i="2" s="1"/>
  <c r="D24" i="2"/>
  <c r="H24" i="2" s="1"/>
  <c r="C24" i="2"/>
  <c r="N23" i="2"/>
  <c r="J23" i="2"/>
  <c r="K23" i="2" s="1"/>
  <c r="L23" i="2" s="1"/>
  <c r="F23" i="2"/>
  <c r="G23" i="2" s="1"/>
  <c r="D23" i="2"/>
  <c r="H23" i="2" s="1"/>
  <c r="C23" i="2"/>
  <c r="N22" i="2"/>
  <c r="J22" i="2"/>
  <c r="K22" i="2" s="1"/>
  <c r="L22" i="2" s="1"/>
  <c r="F22" i="2"/>
  <c r="G22" i="2" s="1"/>
  <c r="D22" i="2"/>
  <c r="H22" i="2" s="1"/>
  <c r="C22" i="2"/>
  <c r="O21" i="2"/>
  <c r="N21" i="2"/>
  <c r="M21" i="2"/>
  <c r="J21" i="2"/>
  <c r="K21" i="2" s="1"/>
  <c r="L21" i="2" s="1"/>
  <c r="H21" i="2"/>
  <c r="F21" i="2"/>
  <c r="G21" i="2" s="1"/>
  <c r="D21" i="2"/>
  <c r="C21" i="2"/>
  <c r="N20" i="2"/>
  <c r="J20" i="2"/>
  <c r="K20" i="2" s="1"/>
  <c r="L20" i="2" s="1"/>
  <c r="F20" i="2"/>
  <c r="G20" i="2" s="1"/>
  <c r="D20" i="2"/>
  <c r="H20" i="2" s="1"/>
  <c r="C20" i="2"/>
  <c r="N19" i="2"/>
  <c r="K19" i="2"/>
  <c r="L19" i="2" s="1"/>
  <c r="J19" i="2"/>
  <c r="H19" i="2"/>
  <c r="M19" i="2" s="1"/>
  <c r="F19" i="2"/>
  <c r="G19" i="2" s="1"/>
  <c r="D19" i="2"/>
  <c r="C19" i="2"/>
  <c r="N18" i="2"/>
  <c r="J18" i="2"/>
  <c r="K18" i="2" s="1"/>
  <c r="L18" i="2" s="1"/>
  <c r="F18" i="2"/>
  <c r="G18" i="2" s="1"/>
  <c r="D18" i="2"/>
  <c r="H18" i="2" s="1"/>
  <c r="C18" i="2"/>
  <c r="N17" i="2"/>
  <c r="M17" i="2"/>
  <c r="K17" i="2"/>
  <c r="L17" i="2" s="1"/>
  <c r="J17" i="2"/>
  <c r="H17" i="2"/>
  <c r="O17" i="2" s="1"/>
  <c r="G17" i="2"/>
  <c r="F17" i="2"/>
  <c r="D17" i="2"/>
  <c r="C17" i="2"/>
  <c r="N16" i="2"/>
  <c r="J16" i="2"/>
  <c r="K16" i="2" s="1"/>
  <c r="L16" i="2" s="1"/>
  <c r="H16" i="2"/>
  <c r="O16" i="2" s="1"/>
  <c r="F16" i="2"/>
  <c r="G16" i="2" s="1"/>
  <c r="D16" i="2"/>
  <c r="C16" i="2"/>
  <c r="N15" i="2"/>
  <c r="K15" i="2"/>
  <c r="L15" i="2" s="1"/>
  <c r="J15" i="2"/>
  <c r="F15" i="2"/>
  <c r="G15" i="2" s="1"/>
  <c r="D15" i="2"/>
  <c r="H15" i="2" s="1"/>
  <c r="C15" i="2"/>
  <c r="N14" i="2"/>
  <c r="J14" i="2"/>
  <c r="K14" i="2" s="1"/>
  <c r="L14" i="2" s="1"/>
  <c r="H14" i="2"/>
  <c r="O14" i="2" s="1"/>
  <c r="F14" i="2"/>
  <c r="G14" i="2" s="1"/>
  <c r="D14" i="2"/>
  <c r="C14" i="2"/>
  <c r="N13" i="2"/>
  <c r="J13" i="2"/>
  <c r="K13" i="2" s="1"/>
  <c r="L13" i="2" s="1"/>
  <c r="F13" i="2"/>
  <c r="G13" i="2" s="1"/>
  <c r="D13" i="2"/>
  <c r="H13" i="2" s="1"/>
  <c r="C13" i="2"/>
  <c r="N12" i="2"/>
  <c r="K12" i="2"/>
  <c r="L12" i="2" s="1"/>
  <c r="J12" i="2"/>
  <c r="G12" i="2"/>
  <c r="F12" i="2"/>
  <c r="D12" i="2"/>
  <c r="H12" i="2" s="1"/>
  <c r="C12" i="2"/>
  <c r="N11" i="2"/>
  <c r="J11" i="2"/>
  <c r="K11" i="2" s="1"/>
  <c r="L11" i="2" s="1"/>
  <c r="F11" i="2"/>
  <c r="G11" i="2" s="1"/>
  <c r="D11" i="2"/>
  <c r="H11" i="2" s="1"/>
  <c r="C11" i="2"/>
  <c r="N10" i="2"/>
  <c r="J10" i="2"/>
  <c r="K10" i="2" s="1"/>
  <c r="L10" i="2" s="1"/>
  <c r="G10" i="2"/>
  <c r="F10" i="2"/>
  <c r="D10" i="2"/>
  <c r="H10" i="2" s="1"/>
  <c r="C10" i="2"/>
  <c r="N9" i="2"/>
  <c r="J9" i="2"/>
  <c r="K9" i="2" s="1"/>
  <c r="L9" i="2" s="1"/>
  <c r="F9" i="2"/>
  <c r="G9" i="2" s="1"/>
  <c r="D9" i="2"/>
  <c r="H9" i="2" s="1"/>
  <c r="C9" i="2"/>
  <c r="O8" i="2"/>
  <c r="N8" i="2"/>
  <c r="M8" i="2"/>
  <c r="J8" i="2"/>
  <c r="K8" i="2" s="1"/>
  <c r="L8" i="2" s="1"/>
  <c r="H8" i="2"/>
  <c r="G8" i="2"/>
  <c r="F8" i="2"/>
  <c r="D8" i="2"/>
  <c r="C8" i="2"/>
  <c r="N7" i="2"/>
  <c r="J7" i="2"/>
  <c r="K7" i="2" s="1"/>
  <c r="L7" i="2" s="1"/>
  <c r="F7" i="2"/>
  <c r="G7" i="2" s="1"/>
  <c r="D7" i="2"/>
  <c r="H7" i="2" s="1"/>
  <c r="C7" i="2"/>
  <c r="N6" i="2"/>
  <c r="J6" i="2"/>
  <c r="K6" i="2" s="1"/>
  <c r="L6" i="2" s="1"/>
  <c r="F6" i="2"/>
  <c r="G6" i="2" s="1"/>
  <c r="D6" i="2"/>
  <c r="H6" i="2" s="1"/>
  <c r="C6" i="2"/>
  <c r="N5" i="2"/>
  <c r="J5" i="2"/>
  <c r="K5" i="2" s="1"/>
  <c r="L5" i="2" s="1"/>
  <c r="H5" i="2"/>
  <c r="O5" i="2" s="1"/>
  <c r="G5" i="2"/>
  <c r="F5" i="2"/>
  <c r="D5" i="2"/>
  <c r="C5" i="2"/>
  <c r="N4" i="2"/>
  <c r="L4" i="2"/>
  <c r="K4" i="2"/>
  <c r="J4" i="2"/>
  <c r="F4" i="2"/>
  <c r="G4" i="2" s="1"/>
  <c r="D4" i="2"/>
  <c r="H4" i="2" s="1"/>
  <c r="C4" i="2"/>
  <c r="N3" i="2"/>
  <c r="J3" i="2"/>
  <c r="K3" i="2" s="1"/>
  <c r="L3" i="2" s="1"/>
  <c r="F3" i="2"/>
  <c r="G3" i="2" s="1"/>
  <c r="D3" i="2"/>
  <c r="H3" i="2" s="1"/>
  <c r="C3" i="2"/>
  <c r="N2" i="2"/>
  <c r="J2" i="2"/>
  <c r="K2" i="2" s="1"/>
  <c r="L2" i="2" s="1"/>
  <c r="F2" i="2"/>
  <c r="G2" i="2" s="1"/>
  <c r="D2" i="2"/>
  <c r="D33" i="2" s="1"/>
  <c r="C2" i="2"/>
  <c r="C33" i="2" s="1"/>
  <c r="O2" i="1"/>
  <c r="B32" i="1"/>
  <c r="B33" i="1"/>
  <c r="A33" i="1"/>
  <c r="A32" i="1"/>
  <c r="N29" i="1"/>
  <c r="J29" i="1"/>
  <c r="K29" i="1" s="1"/>
  <c r="L29" i="1" s="1"/>
  <c r="F29" i="1"/>
  <c r="G29" i="1" s="1"/>
  <c r="D29" i="1"/>
  <c r="H29" i="1" s="1"/>
  <c r="C29" i="1"/>
  <c r="N28" i="1"/>
  <c r="K28" i="1"/>
  <c r="L28" i="1" s="1"/>
  <c r="J28" i="1"/>
  <c r="F28" i="1"/>
  <c r="G28" i="1" s="1"/>
  <c r="D28" i="1"/>
  <c r="H28" i="1" s="1"/>
  <c r="C28" i="1"/>
  <c r="N27" i="1"/>
  <c r="J27" i="1"/>
  <c r="K27" i="1" s="1"/>
  <c r="L27" i="1" s="1"/>
  <c r="F27" i="1"/>
  <c r="G27" i="1" s="1"/>
  <c r="D27" i="1"/>
  <c r="H27" i="1" s="1"/>
  <c r="C27" i="1"/>
  <c r="N26" i="1"/>
  <c r="K26" i="1"/>
  <c r="L26" i="1" s="1"/>
  <c r="J26" i="1"/>
  <c r="F26" i="1"/>
  <c r="G26" i="1" s="1"/>
  <c r="D26" i="1"/>
  <c r="H26" i="1" s="1"/>
  <c r="C26" i="1"/>
  <c r="N25" i="1"/>
  <c r="J25" i="1"/>
  <c r="K25" i="1" s="1"/>
  <c r="L25" i="1" s="1"/>
  <c r="H25" i="1"/>
  <c r="O25" i="1" s="1"/>
  <c r="G25" i="1"/>
  <c r="F25" i="1"/>
  <c r="D25" i="1"/>
  <c r="C25" i="1"/>
  <c r="N24" i="1"/>
  <c r="J24" i="1"/>
  <c r="K24" i="1" s="1"/>
  <c r="L24" i="1" s="1"/>
  <c r="F24" i="1"/>
  <c r="G24" i="1" s="1"/>
  <c r="D24" i="1"/>
  <c r="H24" i="1" s="1"/>
  <c r="C24" i="1"/>
  <c r="N23" i="1"/>
  <c r="J23" i="1"/>
  <c r="K23" i="1" s="1"/>
  <c r="L23" i="1" s="1"/>
  <c r="F23" i="1"/>
  <c r="G23" i="1" s="1"/>
  <c r="D23" i="1"/>
  <c r="H23" i="1" s="1"/>
  <c r="C23" i="1"/>
  <c r="N22" i="1"/>
  <c r="J22" i="1"/>
  <c r="K22" i="1" s="1"/>
  <c r="L22" i="1" s="1"/>
  <c r="F22" i="1"/>
  <c r="G22" i="1" s="1"/>
  <c r="D22" i="1"/>
  <c r="H22" i="1" s="1"/>
  <c r="C22" i="1"/>
  <c r="O21" i="1"/>
  <c r="N21" i="1"/>
  <c r="M21" i="1"/>
  <c r="L21" i="1"/>
  <c r="K21" i="1"/>
  <c r="J21" i="1"/>
  <c r="H21" i="1"/>
  <c r="G21" i="1"/>
  <c r="F21" i="1"/>
  <c r="D21" i="1"/>
  <c r="C21" i="1"/>
  <c r="N20" i="1"/>
  <c r="J20" i="1"/>
  <c r="K20" i="1" s="1"/>
  <c r="L20" i="1" s="1"/>
  <c r="F20" i="1"/>
  <c r="G20" i="1" s="1"/>
  <c r="D20" i="1"/>
  <c r="H20" i="1" s="1"/>
  <c r="C20" i="1"/>
  <c r="N19" i="1"/>
  <c r="J19" i="1"/>
  <c r="K19" i="1" s="1"/>
  <c r="L19" i="1" s="1"/>
  <c r="G19" i="1"/>
  <c r="F19" i="1"/>
  <c r="D19" i="1"/>
  <c r="H19" i="1" s="1"/>
  <c r="C19" i="1"/>
  <c r="N18" i="1"/>
  <c r="J18" i="1"/>
  <c r="K18" i="1" s="1"/>
  <c r="L18" i="1" s="1"/>
  <c r="F18" i="1"/>
  <c r="G18" i="1" s="1"/>
  <c r="D18" i="1"/>
  <c r="H18" i="1" s="1"/>
  <c r="C18" i="1"/>
  <c r="N17" i="1"/>
  <c r="J17" i="1"/>
  <c r="K17" i="1" s="1"/>
  <c r="L17" i="1" s="1"/>
  <c r="F17" i="1"/>
  <c r="G17" i="1" s="1"/>
  <c r="D17" i="1"/>
  <c r="H17" i="1" s="1"/>
  <c r="C17" i="1"/>
  <c r="N16" i="1"/>
  <c r="J16" i="1"/>
  <c r="K16" i="1" s="1"/>
  <c r="L16" i="1" s="1"/>
  <c r="H16" i="1"/>
  <c r="M16" i="1" s="1"/>
  <c r="F16" i="1"/>
  <c r="G16" i="1" s="1"/>
  <c r="D16" i="1"/>
  <c r="C16" i="1"/>
  <c r="N15" i="1"/>
  <c r="J15" i="1"/>
  <c r="K15" i="1" s="1"/>
  <c r="L15" i="1" s="1"/>
  <c r="F15" i="1"/>
  <c r="G15" i="1" s="1"/>
  <c r="D15" i="1"/>
  <c r="H15" i="1" s="1"/>
  <c r="C15" i="1"/>
  <c r="N14" i="1"/>
  <c r="J14" i="1"/>
  <c r="K14" i="1" s="1"/>
  <c r="L14" i="1" s="1"/>
  <c r="H14" i="1"/>
  <c r="O14" i="1" s="1"/>
  <c r="G14" i="1"/>
  <c r="F14" i="1"/>
  <c r="D14" i="1"/>
  <c r="C14" i="1"/>
  <c r="N13" i="1"/>
  <c r="J13" i="1"/>
  <c r="K13" i="1" s="1"/>
  <c r="L13" i="1" s="1"/>
  <c r="F13" i="1"/>
  <c r="G13" i="1" s="1"/>
  <c r="D13" i="1"/>
  <c r="H13" i="1" s="1"/>
  <c r="C13" i="1"/>
  <c r="N12" i="1"/>
  <c r="K12" i="1"/>
  <c r="L12" i="1" s="1"/>
  <c r="J12" i="1"/>
  <c r="F12" i="1"/>
  <c r="G12" i="1" s="1"/>
  <c r="D12" i="1"/>
  <c r="H12" i="1" s="1"/>
  <c r="C12" i="1"/>
  <c r="N11" i="1"/>
  <c r="J11" i="1"/>
  <c r="K11" i="1" s="1"/>
  <c r="L11" i="1" s="1"/>
  <c r="F11" i="1"/>
  <c r="G11" i="1" s="1"/>
  <c r="D11" i="1"/>
  <c r="H11" i="1" s="1"/>
  <c r="C11" i="1"/>
  <c r="O10" i="1"/>
  <c r="N10" i="1"/>
  <c r="M10" i="1"/>
  <c r="J10" i="1"/>
  <c r="K10" i="1" s="1"/>
  <c r="L10" i="1" s="1"/>
  <c r="H10" i="1"/>
  <c r="F10" i="1"/>
  <c r="G10" i="1" s="1"/>
  <c r="D10" i="1"/>
  <c r="C10" i="1"/>
  <c r="N9" i="1"/>
  <c r="J9" i="1"/>
  <c r="K9" i="1" s="1"/>
  <c r="L9" i="1" s="1"/>
  <c r="F9" i="1"/>
  <c r="G9" i="1" s="1"/>
  <c r="D9" i="1"/>
  <c r="H9" i="1" s="1"/>
  <c r="C9" i="1"/>
  <c r="N8" i="1"/>
  <c r="K8" i="1"/>
  <c r="L8" i="1" s="1"/>
  <c r="J8" i="1"/>
  <c r="F8" i="1"/>
  <c r="G8" i="1" s="1"/>
  <c r="D8" i="1"/>
  <c r="H8" i="1" s="1"/>
  <c r="C8" i="1"/>
  <c r="N7" i="1"/>
  <c r="J7" i="1"/>
  <c r="K7" i="1" s="1"/>
  <c r="L7" i="1" s="1"/>
  <c r="F7" i="1"/>
  <c r="G7" i="1" s="1"/>
  <c r="D7" i="1"/>
  <c r="H7" i="1" s="1"/>
  <c r="C7" i="1"/>
  <c r="N6" i="1"/>
  <c r="K6" i="1"/>
  <c r="L6" i="1" s="1"/>
  <c r="J6" i="1"/>
  <c r="F6" i="1"/>
  <c r="G6" i="1" s="1"/>
  <c r="D6" i="1"/>
  <c r="H6" i="1" s="1"/>
  <c r="C6" i="1"/>
  <c r="N5" i="1"/>
  <c r="J5" i="1"/>
  <c r="K5" i="1" s="1"/>
  <c r="L5" i="1" s="1"/>
  <c r="H5" i="1"/>
  <c r="M5" i="1" s="1"/>
  <c r="G5" i="1"/>
  <c r="F5" i="1"/>
  <c r="D5" i="1"/>
  <c r="C5" i="1"/>
  <c r="N4" i="1"/>
  <c r="J4" i="1"/>
  <c r="K4" i="1" s="1"/>
  <c r="L4" i="1" s="1"/>
  <c r="F4" i="1"/>
  <c r="G4" i="1" s="1"/>
  <c r="D4" i="1"/>
  <c r="H4" i="1" s="1"/>
  <c r="C4" i="1"/>
  <c r="N3" i="1"/>
  <c r="J3" i="1"/>
  <c r="K3" i="1" s="1"/>
  <c r="L3" i="1" s="1"/>
  <c r="F3" i="1"/>
  <c r="G3" i="1" s="1"/>
  <c r="D3" i="1"/>
  <c r="H3" i="1" s="1"/>
  <c r="C3" i="1"/>
  <c r="N2" i="1"/>
  <c r="J2" i="1"/>
  <c r="K2" i="1" s="1"/>
  <c r="L2" i="1" s="1"/>
  <c r="F2" i="1"/>
  <c r="G2" i="1" s="1"/>
  <c r="D2" i="1"/>
  <c r="D33" i="1" s="1"/>
  <c r="C2" i="1"/>
  <c r="C33" i="1" s="1"/>
  <c r="O9" i="4" l="1"/>
  <c r="M9" i="4"/>
  <c r="O6" i="4"/>
  <c r="M6" i="4"/>
  <c r="O13" i="4"/>
  <c r="M13" i="4"/>
  <c r="M24" i="4"/>
  <c r="O24" i="4"/>
  <c r="O2" i="4"/>
  <c r="M2" i="4"/>
  <c r="O15" i="4"/>
  <c r="M15" i="4"/>
  <c r="O12" i="4"/>
  <c r="M12" i="4"/>
  <c r="O7" i="4"/>
  <c r="M7" i="4"/>
  <c r="O26" i="4"/>
  <c r="M26" i="4"/>
  <c r="O17" i="4"/>
  <c r="M17" i="4"/>
  <c r="O25" i="4"/>
  <c r="M25" i="4"/>
  <c r="M29" i="4"/>
  <c r="O29" i="4"/>
  <c r="O11" i="4"/>
  <c r="M11" i="4"/>
  <c r="O14" i="4"/>
  <c r="M14" i="4"/>
  <c r="O18" i="4"/>
  <c r="M18" i="4"/>
  <c r="M27" i="4"/>
  <c r="O22" i="4"/>
  <c r="M22" i="4"/>
  <c r="O20" i="4"/>
  <c r="M20" i="4"/>
  <c r="M4" i="4"/>
  <c r="O4" i="4"/>
  <c r="M5" i="4"/>
  <c r="M16" i="4"/>
  <c r="C34" i="4"/>
  <c r="M22" i="3"/>
  <c r="O22" i="3"/>
  <c r="O9" i="3"/>
  <c r="M9" i="3"/>
  <c r="O15" i="3"/>
  <c r="M15" i="3"/>
  <c r="M28" i="3"/>
  <c r="O28" i="3"/>
  <c r="O10" i="3"/>
  <c r="M10" i="3"/>
  <c r="M13" i="3"/>
  <c r="O13" i="3"/>
  <c r="O29" i="3"/>
  <c r="M29" i="3"/>
  <c r="O4" i="3"/>
  <c r="M4" i="3"/>
  <c r="O26" i="3"/>
  <c r="M26" i="3"/>
  <c r="O20" i="3"/>
  <c r="M20" i="3"/>
  <c r="M11" i="3"/>
  <c r="O11" i="3"/>
  <c r="O17" i="3"/>
  <c r="M17" i="3"/>
  <c r="O6" i="3"/>
  <c r="M6" i="3"/>
  <c r="M19" i="3"/>
  <c r="O19" i="3"/>
  <c r="M2" i="3"/>
  <c r="O24" i="3"/>
  <c r="M24" i="3"/>
  <c r="M8" i="3"/>
  <c r="O8" i="3"/>
  <c r="O21" i="3"/>
  <c r="M21" i="3"/>
  <c r="M7" i="3"/>
  <c r="O18" i="3"/>
  <c r="M27" i="3"/>
  <c r="O16" i="3"/>
  <c r="C34" i="3"/>
  <c r="O15" i="2"/>
  <c r="M15" i="2"/>
  <c r="O18" i="2"/>
  <c r="M18" i="2"/>
  <c r="O12" i="2"/>
  <c r="M12" i="2"/>
  <c r="O9" i="2"/>
  <c r="M9" i="2"/>
  <c r="O6" i="2"/>
  <c r="M6" i="2"/>
  <c r="O22" i="2"/>
  <c r="M22" i="2"/>
  <c r="O3" i="2"/>
  <c r="M3" i="2"/>
  <c r="O13" i="2"/>
  <c r="M13" i="2"/>
  <c r="O7" i="2"/>
  <c r="M7" i="2"/>
  <c r="O29" i="2"/>
  <c r="M29" i="2"/>
  <c r="O26" i="2"/>
  <c r="M26" i="2"/>
  <c r="O4" i="2"/>
  <c r="M4" i="2"/>
  <c r="O23" i="2"/>
  <c r="M23" i="2"/>
  <c r="O20" i="2"/>
  <c r="M20" i="2"/>
  <c r="O10" i="2"/>
  <c r="M10" i="2"/>
  <c r="M27" i="2"/>
  <c r="O27" i="2"/>
  <c r="O11" i="2"/>
  <c r="M11" i="2"/>
  <c r="O24" i="2"/>
  <c r="M24" i="2"/>
  <c r="M14" i="2"/>
  <c r="M16" i="2"/>
  <c r="O25" i="2"/>
  <c r="H2" i="2"/>
  <c r="C32" i="2"/>
  <c r="M5" i="2"/>
  <c r="D32" i="2"/>
  <c r="M7" i="1"/>
  <c r="O7" i="1"/>
  <c r="O18" i="1"/>
  <c r="M18" i="1"/>
  <c r="M28" i="1"/>
  <c r="O28" i="1"/>
  <c r="O11" i="1"/>
  <c r="M11" i="1"/>
  <c r="M8" i="1"/>
  <c r="O8" i="1"/>
  <c r="O3" i="1"/>
  <c r="M3" i="1"/>
  <c r="O17" i="1"/>
  <c r="M17" i="1"/>
  <c r="O24" i="1"/>
  <c r="M24" i="1"/>
  <c r="M19" i="1"/>
  <c r="O19" i="1"/>
  <c r="O12" i="1"/>
  <c r="M12" i="1"/>
  <c r="O29" i="1"/>
  <c r="M29" i="1"/>
  <c r="O22" i="1"/>
  <c r="M22" i="1"/>
  <c r="O9" i="1"/>
  <c r="M9" i="1"/>
  <c r="O4" i="1"/>
  <c r="M4" i="1"/>
  <c r="O6" i="1"/>
  <c r="M6" i="1"/>
  <c r="O20" i="1"/>
  <c r="M20" i="1"/>
  <c r="M27" i="1"/>
  <c r="O27" i="1"/>
  <c r="O15" i="1"/>
  <c r="M15" i="1"/>
  <c r="O26" i="1"/>
  <c r="M26" i="1"/>
  <c r="O13" i="1"/>
  <c r="M13" i="1"/>
  <c r="O23" i="1"/>
  <c r="M23" i="1"/>
  <c r="O16" i="1"/>
  <c r="M14" i="1"/>
  <c r="O5" i="1"/>
  <c r="H2" i="1"/>
  <c r="C32" i="1"/>
  <c r="D32" i="1"/>
  <c r="M25" i="1"/>
  <c r="O2" i="2" l="1"/>
  <c r="M2" i="2"/>
  <c r="M2" i="1"/>
</calcChain>
</file>

<file path=xl/sharedStrings.xml><?xml version="1.0" encoding="utf-8"?>
<sst xmlns="http://schemas.openxmlformats.org/spreadsheetml/2006/main" count="48" uniqueCount="11">
  <si>
    <t>Depth</t>
  </si>
  <si>
    <t>Force (uN)</t>
  </si>
  <si>
    <t>h ^ (3/2)</t>
  </si>
  <si>
    <t>Force (mN)</t>
  </si>
  <si>
    <t>Sort Force (mN)</t>
  </si>
  <si>
    <t>Cumulative fraction</t>
  </si>
  <si>
    <t>τ (Gpa)</t>
  </si>
  <si>
    <t>Sort τ (Gpa)</t>
  </si>
  <si>
    <t>Ln (F)</t>
  </si>
  <si>
    <t>Tdot (GPa/s)</t>
  </si>
  <si>
    <t>tdot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</si>
</sst>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ADEE-ABD5-4501-8115-5FE36215700F}">
  <dimension ref="A1:O74"/>
  <sheetViews>
    <sheetView topLeftCell="A13" workbookViewId="0">
      <selection activeCell="O3" sqref="O3"/>
    </sheetView>
  </sheetViews>
  <sheetFormatPr defaultRowHeight="14.4" x14ac:dyDescent="0.3"/>
  <cols>
    <col min="2" max="2" width="9.5546875" bestFit="1" customWidth="1"/>
    <col min="15" max="15" width="12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2" t="s">
        <v>7</v>
      </c>
      <c r="K1" s="1" t="s">
        <v>5</v>
      </c>
      <c r="L1" s="1" t="s">
        <v>8</v>
      </c>
      <c r="M1" s="1" t="s">
        <v>9</v>
      </c>
      <c r="N1" s="1"/>
      <c r="O1" s="1" t="s">
        <v>10</v>
      </c>
    </row>
    <row r="2" spans="1:15" x14ac:dyDescent="0.3">
      <c r="A2" s="1">
        <v>58.26934</v>
      </c>
      <c r="B2" s="1">
        <v>3146.4096500000001</v>
      </c>
      <c r="C2" s="2">
        <f t="shared" ref="C2:C29" si="0">A2^(3/2)</f>
        <v>444.79525793471004</v>
      </c>
      <c r="D2" s="3">
        <f t="shared" ref="D2:D29" si="1">B2/1000</f>
        <v>3.1464096499999998</v>
      </c>
      <c r="E2" s="3">
        <v>2.5687835899999998</v>
      </c>
      <c r="F2" s="2">
        <f t="shared" ref="F2:F29" si="2">_xlfn.RANK.AVG(E2,$E$2:$E$111,2)</f>
        <v>1</v>
      </c>
      <c r="G2" s="3">
        <f t="shared" ref="G2:G29" si="3">F2/COUNT(E:E)</f>
        <v>3.5714285714285712E-2</v>
      </c>
      <c r="H2" s="3">
        <f>(0.47/3.14159)*(((4*356.67)/(3*230))^(2/3)) * (D2^(1/3)) * 100</f>
        <v>35.579930501936538</v>
      </c>
      <c r="I2" s="3">
        <v>33.25389437914896</v>
      </c>
      <c r="J2" s="2">
        <f t="shared" ref="J2:J29" si="4">_xlfn.RANK.AVG(I2,$I$2:$I$111,2)</f>
        <v>1</v>
      </c>
      <c r="K2" s="3">
        <f t="shared" ref="K2:K29" si="5">J2/COUNT(I:I)</f>
        <v>3.5714285714285712E-2</v>
      </c>
      <c r="L2" s="3">
        <f t="shared" ref="L2:L29" si="6">LN(LN(1/(1-K2)))</f>
        <v>-3.3140757960466627</v>
      </c>
      <c r="M2" s="3">
        <f t="shared" ref="M2:M29" si="7">(1/3)*(H2/B2)*1000</f>
        <v>3.7693683128574329</v>
      </c>
      <c r="N2" s="4">
        <f>1-EXP(-EXP(3.78428*I2-99.81322))</f>
        <v>1</v>
      </c>
      <c r="O2" s="5">
        <f>((H2*(10^-3))/(3*D2)) * (10^12)</f>
        <v>3769368312.8574328</v>
      </c>
    </row>
    <row r="3" spans="1:15" x14ac:dyDescent="0.3">
      <c r="A3" s="1">
        <v>66.762190000000004</v>
      </c>
      <c r="B3" s="1">
        <v>3705.9550899999999</v>
      </c>
      <c r="C3" s="2">
        <f t="shared" si="0"/>
        <v>545.50139005671178</v>
      </c>
      <c r="D3" s="3">
        <f t="shared" si="1"/>
        <v>3.7059550899999998</v>
      </c>
      <c r="E3" s="3">
        <v>2.5730857199999999</v>
      </c>
      <c r="F3" s="2">
        <f t="shared" si="2"/>
        <v>2</v>
      </c>
      <c r="G3" s="3">
        <f t="shared" si="3"/>
        <v>7.1428571428571425E-2</v>
      </c>
      <c r="H3" s="3">
        <f t="shared" ref="H3:H29" si="8">(0.47/3.14159)*(((4*356.67)/(3*230))^(2/3)) * (D3^(1/3)) * 100</f>
        <v>37.5750924395591</v>
      </c>
      <c r="I3" s="3">
        <v>33.272448269223261</v>
      </c>
      <c r="J3" s="2">
        <f t="shared" si="4"/>
        <v>2</v>
      </c>
      <c r="K3" s="3">
        <f t="shared" si="5"/>
        <v>7.1428571428571425E-2</v>
      </c>
      <c r="L3" s="3">
        <f t="shared" si="6"/>
        <v>-2.6022321660471017</v>
      </c>
      <c r="M3" s="3">
        <f t="shared" si="7"/>
        <v>3.3797038844273652</v>
      </c>
      <c r="N3" s="4">
        <f t="shared" ref="N3:N29" si="9">1-EXP(-EXP(3.78428*I3-99.81322))</f>
        <v>1</v>
      </c>
      <c r="O3" s="5">
        <f t="shared" ref="O3:O29" si="10">((H3*(10^-3))/(3*D3)) * (10^12)</f>
        <v>3379703884.4273658</v>
      </c>
    </row>
    <row r="4" spans="1:15" x14ac:dyDescent="0.3">
      <c r="A4" s="1">
        <v>56.390099999999997</v>
      </c>
      <c r="B4" s="1">
        <v>3109.1027199999999</v>
      </c>
      <c r="C4" s="2">
        <f t="shared" si="0"/>
        <v>423.45210599348974</v>
      </c>
      <c r="D4" s="3">
        <f t="shared" si="1"/>
        <v>3.1091027199999997</v>
      </c>
      <c r="E4" s="3">
        <v>2.6912607099999999</v>
      </c>
      <c r="F4" s="2">
        <f t="shared" si="2"/>
        <v>3</v>
      </c>
      <c r="G4" s="3">
        <f t="shared" si="3"/>
        <v>0.10714285714285714</v>
      </c>
      <c r="H4" s="3">
        <f t="shared" si="8"/>
        <v>35.438747461390832</v>
      </c>
      <c r="I4" s="3">
        <v>33.774215026582134</v>
      </c>
      <c r="J4" s="2">
        <f t="shared" si="4"/>
        <v>3</v>
      </c>
      <c r="K4" s="3">
        <f t="shared" si="5"/>
        <v>0.10714285714285714</v>
      </c>
      <c r="L4" s="3">
        <f t="shared" si="6"/>
        <v>-2.1774629628780864</v>
      </c>
      <c r="M4" s="3">
        <f t="shared" si="7"/>
        <v>3.7994614151775634</v>
      </c>
      <c r="N4" s="4">
        <f t="shared" si="9"/>
        <v>1</v>
      </c>
      <c r="O4" s="5">
        <f t="shared" si="10"/>
        <v>3799461415.1775637</v>
      </c>
    </row>
    <row r="5" spans="1:15" x14ac:dyDescent="0.3">
      <c r="A5" s="1">
        <v>49.79777</v>
      </c>
      <c r="B5" s="1">
        <v>2568.78359</v>
      </c>
      <c r="C5" s="2">
        <f t="shared" si="0"/>
        <v>351.41058788166907</v>
      </c>
      <c r="D5" s="3">
        <f t="shared" si="1"/>
        <v>2.5687835899999998</v>
      </c>
      <c r="E5" s="3">
        <v>2.7648086600000004</v>
      </c>
      <c r="F5" s="2">
        <f t="shared" si="2"/>
        <v>4</v>
      </c>
      <c r="G5" s="3">
        <f t="shared" si="3"/>
        <v>0.14285714285714285</v>
      </c>
      <c r="H5" s="3">
        <f t="shared" si="8"/>
        <v>33.25389437914896</v>
      </c>
      <c r="I5" s="3">
        <v>34.079119653199129</v>
      </c>
      <c r="J5" s="2">
        <f t="shared" si="4"/>
        <v>4</v>
      </c>
      <c r="K5" s="3">
        <f t="shared" si="5"/>
        <v>0.14285714285714285</v>
      </c>
      <c r="L5" s="3">
        <f t="shared" si="6"/>
        <v>-1.8698247144926043</v>
      </c>
      <c r="M5" s="3">
        <f t="shared" si="7"/>
        <v>4.315128570140204</v>
      </c>
      <c r="N5" s="4">
        <f t="shared" si="9"/>
        <v>1</v>
      </c>
      <c r="O5" s="5">
        <f t="shared" si="10"/>
        <v>4315128570.1402044</v>
      </c>
    </row>
    <row r="6" spans="1:15" x14ac:dyDescent="0.3">
      <c r="A6" s="1">
        <v>52.807920000000003</v>
      </c>
      <c r="B6" s="1">
        <v>2764.8086600000001</v>
      </c>
      <c r="C6" s="2">
        <f t="shared" si="0"/>
        <v>383.7501804752132</v>
      </c>
      <c r="D6" s="3">
        <f t="shared" si="1"/>
        <v>2.7648086600000004</v>
      </c>
      <c r="E6" s="3">
        <v>2.8408126</v>
      </c>
      <c r="F6" s="2">
        <f t="shared" si="2"/>
        <v>5</v>
      </c>
      <c r="G6" s="3">
        <f t="shared" si="3"/>
        <v>0.17857142857142858</v>
      </c>
      <c r="H6" s="3">
        <f t="shared" si="8"/>
        <v>34.079119653199129</v>
      </c>
      <c r="I6" s="3">
        <v>34.388576769308784</v>
      </c>
      <c r="J6" s="2">
        <f t="shared" si="4"/>
        <v>5</v>
      </c>
      <c r="K6" s="3">
        <f t="shared" si="5"/>
        <v>0.17857142857142858</v>
      </c>
      <c r="L6" s="3">
        <f t="shared" si="6"/>
        <v>-1.6260232202028315</v>
      </c>
      <c r="M6" s="3">
        <f t="shared" si="7"/>
        <v>4.1086772894679724</v>
      </c>
      <c r="N6" s="4">
        <f t="shared" si="9"/>
        <v>1</v>
      </c>
      <c r="O6" s="5">
        <f t="shared" si="10"/>
        <v>4108677289.4679718</v>
      </c>
    </row>
    <row r="7" spans="1:15" x14ac:dyDescent="0.3">
      <c r="A7" s="1">
        <v>60.443649999999998</v>
      </c>
      <c r="B7" s="1">
        <v>3204.3474999999999</v>
      </c>
      <c r="C7" s="2">
        <f t="shared" si="0"/>
        <v>469.9222657840387</v>
      </c>
      <c r="D7" s="3">
        <f t="shared" si="1"/>
        <v>3.2043474999999999</v>
      </c>
      <c r="E7" s="3">
        <v>2.8532995099999998</v>
      </c>
      <c r="F7" s="2">
        <f t="shared" si="2"/>
        <v>6</v>
      </c>
      <c r="G7" s="3">
        <f t="shared" si="3"/>
        <v>0.21428571428571427</v>
      </c>
      <c r="H7" s="3">
        <f t="shared" si="8"/>
        <v>35.796992675614938</v>
      </c>
      <c r="I7" s="3">
        <v>34.438888598650912</v>
      </c>
      <c r="J7" s="2">
        <f t="shared" si="4"/>
        <v>6</v>
      </c>
      <c r="K7" s="3">
        <f t="shared" si="5"/>
        <v>0.21428571428571427</v>
      </c>
      <c r="L7" s="3">
        <f t="shared" si="6"/>
        <v>-1.4222861365496993</v>
      </c>
      <c r="M7" s="3">
        <f t="shared" si="7"/>
        <v>3.7237942800746944</v>
      </c>
      <c r="N7" s="4">
        <f t="shared" si="9"/>
        <v>1</v>
      </c>
      <c r="O7" s="5">
        <f t="shared" si="10"/>
        <v>3723794280.0746946</v>
      </c>
    </row>
    <row r="8" spans="1:15" x14ac:dyDescent="0.3">
      <c r="A8" s="1">
        <v>60.68685</v>
      </c>
      <c r="B8" s="1">
        <v>3194.28899</v>
      </c>
      <c r="C8" s="2">
        <f t="shared" si="0"/>
        <v>472.76127311404559</v>
      </c>
      <c r="D8" s="3">
        <f t="shared" si="1"/>
        <v>3.19428899</v>
      </c>
      <c r="E8" s="3">
        <v>3.0294076900000002</v>
      </c>
      <c r="F8" s="2">
        <f t="shared" si="2"/>
        <v>7</v>
      </c>
      <c r="G8" s="3">
        <f t="shared" si="3"/>
        <v>0.25</v>
      </c>
      <c r="H8" s="3">
        <f t="shared" si="8"/>
        <v>35.759497593600088</v>
      </c>
      <c r="I8" s="3">
        <v>35.133324596324478</v>
      </c>
      <c r="J8" s="2">
        <f t="shared" si="4"/>
        <v>7</v>
      </c>
      <c r="K8" s="3">
        <f t="shared" si="5"/>
        <v>0.25</v>
      </c>
      <c r="L8" s="3">
        <f t="shared" si="6"/>
        <v>-1.2458993237072384</v>
      </c>
      <c r="M8" s="3">
        <f t="shared" si="7"/>
        <v>3.7316074307979341</v>
      </c>
      <c r="N8" s="4">
        <f t="shared" si="9"/>
        <v>1</v>
      </c>
      <c r="O8" s="5">
        <f t="shared" si="10"/>
        <v>3731607430.7979345</v>
      </c>
    </row>
    <row r="9" spans="1:15" x14ac:dyDescent="0.3">
      <c r="A9" s="1">
        <v>59.183100000000003</v>
      </c>
      <c r="B9" s="1">
        <v>3337.9387099999999</v>
      </c>
      <c r="C9" s="2">
        <f t="shared" si="0"/>
        <v>455.29886170680163</v>
      </c>
      <c r="D9" s="3">
        <f t="shared" si="1"/>
        <v>3.33793871</v>
      </c>
      <c r="E9" s="3">
        <v>3.0449926399999998</v>
      </c>
      <c r="F9" s="2">
        <f t="shared" si="2"/>
        <v>8</v>
      </c>
      <c r="G9" s="3">
        <f t="shared" si="3"/>
        <v>0.2857142857142857</v>
      </c>
      <c r="H9" s="3">
        <f t="shared" si="8"/>
        <v>36.287701437716088</v>
      </c>
      <c r="I9" s="3">
        <v>35.193469996451803</v>
      </c>
      <c r="J9" s="2">
        <f t="shared" si="4"/>
        <v>8</v>
      </c>
      <c r="K9" s="3">
        <f t="shared" si="5"/>
        <v>0.2857142857142857</v>
      </c>
      <c r="L9" s="3">
        <f t="shared" si="6"/>
        <v>-1.0892396396274506</v>
      </c>
      <c r="M9" s="3">
        <f t="shared" si="7"/>
        <v>3.6237635050041694</v>
      </c>
      <c r="N9" s="4">
        <f t="shared" si="9"/>
        <v>1</v>
      </c>
      <c r="O9" s="5">
        <f t="shared" si="10"/>
        <v>3623763505.0041695</v>
      </c>
    </row>
    <row r="10" spans="1:15" x14ac:dyDescent="0.3">
      <c r="A10" s="1">
        <v>56.231670000000001</v>
      </c>
      <c r="B10" s="1">
        <v>3068.0194900000001</v>
      </c>
      <c r="C10" s="2">
        <f t="shared" si="0"/>
        <v>421.66880430035746</v>
      </c>
      <c r="D10" s="3">
        <f t="shared" si="1"/>
        <v>3.0680194900000002</v>
      </c>
      <c r="E10" s="3">
        <v>3.0680194900000002</v>
      </c>
      <c r="F10" s="2">
        <f t="shared" si="2"/>
        <v>9</v>
      </c>
      <c r="G10" s="3">
        <f t="shared" si="3"/>
        <v>0.32142857142857145</v>
      </c>
      <c r="H10" s="3">
        <f t="shared" si="8"/>
        <v>35.281960686981414</v>
      </c>
      <c r="I10" s="3">
        <v>35.281960686981414</v>
      </c>
      <c r="J10" s="2">
        <f t="shared" si="4"/>
        <v>9</v>
      </c>
      <c r="K10" s="3">
        <f t="shared" si="5"/>
        <v>0.32142857142857145</v>
      </c>
      <c r="L10" s="3">
        <f t="shared" si="6"/>
        <v>-0.94735442354642807</v>
      </c>
      <c r="M10" s="3">
        <f t="shared" si="7"/>
        <v>3.8333047103058449</v>
      </c>
      <c r="N10" s="4">
        <f t="shared" si="9"/>
        <v>1</v>
      </c>
      <c r="O10" s="5">
        <f t="shared" si="10"/>
        <v>3833304710.3058457</v>
      </c>
    </row>
    <row r="11" spans="1:15" x14ac:dyDescent="0.3">
      <c r="A11" s="1">
        <v>63.04692</v>
      </c>
      <c r="B11" s="1">
        <v>3550.5946300000001</v>
      </c>
      <c r="C11" s="2">
        <f t="shared" si="0"/>
        <v>500.60572572057475</v>
      </c>
      <c r="D11" s="3">
        <f t="shared" si="1"/>
        <v>3.55059463</v>
      </c>
      <c r="E11" s="3">
        <v>3.0929312100000002</v>
      </c>
      <c r="F11" s="2">
        <f t="shared" si="2"/>
        <v>10</v>
      </c>
      <c r="G11" s="3">
        <f t="shared" si="3"/>
        <v>0.35714285714285715</v>
      </c>
      <c r="H11" s="3">
        <f t="shared" si="8"/>
        <v>37.042506942699369</v>
      </c>
      <c r="I11" s="3">
        <v>35.377197595462761</v>
      </c>
      <c r="J11" s="2">
        <f t="shared" si="4"/>
        <v>10</v>
      </c>
      <c r="K11" s="3">
        <f t="shared" si="5"/>
        <v>0.35714285714285715</v>
      </c>
      <c r="L11" s="3">
        <f t="shared" si="6"/>
        <v>-0.81682385702039551</v>
      </c>
      <c r="M11" s="3">
        <f t="shared" si="7"/>
        <v>3.4775871652329742</v>
      </c>
      <c r="N11" s="4">
        <f t="shared" si="9"/>
        <v>1</v>
      </c>
      <c r="O11" s="5">
        <f t="shared" si="10"/>
        <v>3477587165.2329745</v>
      </c>
    </row>
    <row r="12" spans="1:15" x14ac:dyDescent="0.3">
      <c r="A12" s="1">
        <v>61.59592</v>
      </c>
      <c r="B12" s="1">
        <v>3290.33509</v>
      </c>
      <c r="C12" s="2">
        <f t="shared" si="0"/>
        <v>483.42367925225466</v>
      </c>
      <c r="D12" s="3">
        <f t="shared" si="1"/>
        <v>3.2903350900000001</v>
      </c>
      <c r="E12" s="3">
        <v>3.1091027199999997</v>
      </c>
      <c r="F12" s="2">
        <f t="shared" si="2"/>
        <v>11</v>
      </c>
      <c r="G12" s="3">
        <f t="shared" si="3"/>
        <v>0.39285714285714285</v>
      </c>
      <c r="H12" s="3">
        <f t="shared" si="8"/>
        <v>36.114370567444702</v>
      </c>
      <c r="I12" s="3">
        <v>35.438747461390832</v>
      </c>
      <c r="J12" s="2">
        <f t="shared" si="4"/>
        <v>11</v>
      </c>
      <c r="K12" s="3">
        <f t="shared" si="5"/>
        <v>0.39285714285714285</v>
      </c>
      <c r="L12" s="3">
        <f t="shared" si="6"/>
        <v>-0.69516688655568248</v>
      </c>
      <c r="M12" s="3">
        <f t="shared" si="7"/>
        <v>3.6586314746689115</v>
      </c>
      <c r="N12" s="4">
        <f t="shared" si="9"/>
        <v>1</v>
      </c>
      <c r="O12" s="5">
        <f t="shared" si="10"/>
        <v>3658631474.6689115</v>
      </c>
    </row>
    <row r="13" spans="1:15" x14ac:dyDescent="0.3">
      <c r="A13" s="1">
        <v>54.728819999999999</v>
      </c>
      <c r="B13" s="1">
        <v>2840.8126000000002</v>
      </c>
      <c r="C13" s="2">
        <f t="shared" si="0"/>
        <v>404.87795127118289</v>
      </c>
      <c r="D13" s="3">
        <f t="shared" si="1"/>
        <v>2.8408126</v>
      </c>
      <c r="E13" s="3">
        <v>3.12819212</v>
      </c>
      <c r="F13" s="2">
        <f t="shared" si="2"/>
        <v>12</v>
      </c>
      <c r="G13" s="3">
        <f t="shared" si="3"/>
        <v>0.42857142857142855</v>
      </c>
      <c r="H13" s="3">
        <f t="shared" si="8"/>
        <v>34.388576769308784</v>
      </c>
      <c r="I13" s="3">
        <v>35.511128964629094</v>
      </c>
      <c r="J13" s="2">
        <f t="shared" si="4"/>
        <v>12</v>
      </c>
      <c r="K13" s="3">
        <f t="shared" si="5"/>
        <v>0.42857142857142855</v>
      </c>
      <c r="L13" s="3">
        <f t="shared" si="6"/>
        <v>-0.58050482369489387</v>
      </c>
      <c r="M13" s="3">
        <f t="shared" si="7"/>
        <v>4.0350633910532938</v>
      </c>
      <c r="N13" s="4">
        <f t="shared" si="9"/>
        <v>1</v>
      </c>
      <c r="O13" s="5">
        <f t="shared" si="10"/>
        <v>4035063391.0532951</v>
      </c>
    </row>
    <row r="14" spans="1:15" x14ac:dyDescent="0.3">
      <c r="A14" s="1">
        <v>60.659889999999997</v>
      </c>
      <c r="B14" s="1">
        <v>3462.0091600000001</v>
      </c>
      <c r="C14" s="2">
        <f t="shared" si="0"/>
        <v>472.44627336709283</v>
      </c>
      <c r="D14" s="3">
        <f t="shared" si="1"/>
        <v>3.46200916</v>
      </c>
      <c r="E14" s="3">
        <v>3.1464096499999998</v>
      </c>
      <c r="F14" s="2">
        <f t="shared" si="2"/>
        <v>13</v>
      </c>
      <c r="G14" s="3">
        <f t="shared" si="3"/>
        <v>0.4642857142857143</v>
      </c>
      <c r="H14" s="3">
        <f t="shared" si="8"/>
        <v>36.731845126889624</v>
      </c>
      <c r="I14" s="3">
        <v>35.579930501936538</v>
      </c>
      <c r="J14" s="2">
        <f t="shared" si="4"/>
        <v>13</v>
      </c>
      <c r="K14" s="3">
        <f t="shared" si="5"/>
        <v>0.4642857142857143</v>
      </c>
      <c r="L14" s="3">
        <f t="shared" si="6"/>
        <v>-0.47135765100280647</v>
      </c>
      <c r="M14" s="3">
        <f t="shared" si="7"/>
        <v>3.5366597284306072</v>
      </c>
      <c r="N14" s="4">
        <f t="shared" si="9"/>
        <v>1</v>
      </c>
      <c r="O14" s="5">
        <f t="shared" si="10"/>
        <v>3536659728.4306073</v>
      </c>
    </row>
    <row r="15" spans="1:15" x14ac:dyDescent="0.3">
      <c r="A15" s="1">
        <v>54.468730000000001</v>
      </c>
      <c r="B15" s="1">
        <v>2691.26071</v>
      </c>
      <c r="C15" s="2">
        <f t="shared" si="0"/>
        <v>401.99520605267509</v>
      </c>
      <c r="D15" s="3">
        <f t="shared" si="1"/>
        <v>2.6912607099999999</v>
      </c>
      <c r="E15" s="3">
        <v>3.1488243100000002</v>
      </c>
      <c r="F15" s="2">
        <f t="shared" si="2"/>
        <v>14</v>
      </c>
      <c r="G15" s="3">
        <f t="shared" si="3"/>
        <v>0.5</v>
      </c>
      <c r="H15" s="3">
        <f t="shared" si="8"/>
        <v>33.774215026582134</v>
      </c>
      <c r="I15" s="3">
        <v>35.589029917491743</v>
      </c>
      <c r="J15" s="2">
        <f t="shared" si="4"/>
        <v>14</v>
      </c>
      <c r="K15" s="3">
        <f t="shared" si="5"/>
        <v>0.5</v>
      </c>
      <c r="L15" s="3">
        <f t="shared" si="6"/>
        <v>-0.36651292058166435</v>
      </c>
      <c r="M15" s="3">
        <f t="shared" si="7"/>
        <v>4.1831962372487412</v>
      </c>
      <c r="N15" s="4">
        <f t="shared" si="9"/>
        <v>1</v>
      </c>
      <c r="O15" s="5">
        <f t="shared" si="10"/>
        <v>4183196237.2487426</v>
      </c>
    </row>
    <row r="16" spans="1:15" x14ac:dyDescent="0.3">
      <c r="A16" s="1">
        <v>60.657240000000002</v>
      </c>
      <c r="B16" s="1">
        <v>3330.4749400000001</v>
      </c>
      <c r="C16" s="2">
        <f t="shared" si="0"/>
        <v>472.41531463264573</v>
      </c>
      <c r="D16" s="3">
        <f t="shared" si="1"/>
        <v>3.3304749400000002</v>
      </c>
      <c r="E16" s="3">
        <v>3.19428899</v>
      </c>
      <c r="F16" s="2">
        <f t="shared" si="2"/>
        <v>15</v>
      </c>
      <c r="G16" s="3">
        <f t="shared" si="3"/>
        <v>0.5357142857142857</v>
      </c>
      <c r="H16" s="3">
        <f t="shared" si="8"/>
        <v>36.260634315940571</v>
      </c>
      <c r="I16" s="3">
        <v>35.759497593600088</v>
      </c>
      <c r="J16" s="2">
        <f t="shared" si="4"/>
        <v>15</v>
      </c>
      <c r="K16" s="3">
        <f t="shared" si="5"/>
        <v>0.5357142857142857</v>
      </c>
      <c r="L16" s="3">
        <f t="shared" si="6"/>
        <v>-0.26493586968383609</v>
      </c>
      <c r="M16" s="3">
        <f t="shared" si="7"/>
        <v>3.6291755149232632</v>
      </c>
      <c r="N16" s="4">
        <f t="shared" si="9"/>
        <v>1</v>
      </c>
      <c r="O16" s="5">
        <f t="shared" si="10"/>
        <v>3629175514.9232631</v>
      </c>
    </row>
    <row r="17" spans="1:15" x14ac:dyDescent="0.3">
      <c r="A17" s="1">
        <v>59.204839999999997</v>
      </c>
      <c r="B17" s="1">
        <v>3128.1921200000002</v>
      </c>
      <c r="C17" s="2">
        <f t="shared" si="0"/>
        <v>455.54975527740118</v>
      </c>
      <c r="D17" s="3">
        <f t="shared" si="1"/>
        <v>3.12819212</v>
      </c>
      <c r="E17" s="3">
        <v>3.2043474999999999</v>
      </c>
      <c r="F17" s="2">
        <f t="shared" si="2"/>
        <v>16</v>
      </c>
      <c r="G17" s="3">
        <f t="shared" si="3"/>
        <v>0.5714285714285714</v>
      </c>
      <c r="H17" s="3">
        <f t="shared" si="8"/>
        <v>35.511128964629094</v>
      </c>
      <c r="I17" s="3">
        <v>35.796992675614938</v>
      </c>
      <c r="J17" s="2">
        <f t="shared" si="4"/>
        <v>16</v>
      </c>
      <c r="K17" s="3">
        <f t="shared" si="5"/>
        <v>0.5714285714285714</v>
      </c>
      <c r="L17" s="3">
        <f t="shared" si="6"/>
        <v>-0.16570298099369651</v>
      </c>
      <c r="M17" s="3">
        <f t="shared" si="7"/>
        <v>3.7839884937149253</v>
      </c>
      <c r="N17" s="4">
        <f t="shared" si="9"/>
        <v>1</v>
      </c>
      <c r="O17" s="5">
        <f t="shared" si="10"/>
        <v>3783988493.7149248</v>
      </c>
    </row>
    <row r="18" spans="1:15" x14ac:dyDescent="0.3">
      <c r="A18" s="1">
        <v>63.627890000000001</v>
      </c>
      <c r="B18" s="1">
        <v>3671.3542400000001</v>
      </c>
      <c r="C18" s="2">
        <f t="shared" si="0"/>
        <v>507.54117689018585</v>
      </c>
      <c r="D18" s="3">
        <f t="shared" si="1"/>
        <v>3.6713542400000003</v>
      </c>
      <c r="E18" s="3">
        <v>3.2167956800000002</v>
      </c>
      <c r="F18" s="2">
        <f t="shared" si="2"/>
        <v>17</v>
      </c>
      <c r="G18" s="3">
        <f t="shared" si="3"/>
        <v>0.6071428571428571</v>
      </c>
      <c r="H18" s="3">
        <f t="shared" si="8"/>
        <v>37.457785971998092</v>
      </c>
      <c r="I18" s="3">
        <v>35.843287240705806</v>
      </c>
      <c r="J18" s="2">
        <f t="shared" si="4"/>
        <v>17</v>
      </c>
      <c r="K18" s="3">
        <f t="shared" si="5"/>
        <v>0.6071428571428571</v>
      </c>
      <c r="L18" s="3">
        <f t="shared" si="6"/>
        <v>-6.794780628269334E-2</v>
      </c>
      <c r="M18" s="3">
        <f t="shared" si="7"/>
        <v>3.4009054537141852</v>
      </c>
      <c r="N18" s="4">
        <f t="shared" si="9"/>
        <v>1</v>
      </c>
      <c r="O18" s="5">
        <f t="shared" si="10"/>
        <v>3400905453.7141848</v>
      </c>
    </row>
    <row r="19" spans="1:15" x14ac:dyDescent="0.3">
      <c r="A19" s="1">
        <v>65.041150000000002</v>
      </c>
      <c r="B19" s="1">
        <v>3732.0531500000002</v>
      </c>
      <c r="C19" s="2">
        <f t="shared" si="0"/>
        <v>524.54447525216381</v>
      </c>
      <c r="D19" s="3">
        <f t="shared" si="1"/>
        <v>3.73205315</v>
      </c>
      <c r="E19" s="3">
        <v>3.2903350900000001</v>
      </c>
      <c r="F19" s="2">
        <f t="shared" si="2"/>
        <v>18</v>
      </c>
      <c r="G19" s="3">
        <f t="shared" si="3"/>
        <v>0.6428571428571429</v>
      </c>
      <c r="H19" s="3">
        <f t="shared" si="8"/>
        <v>37.663089911313193</v>
      </c>
      <c r="I19" s="3">
        <v>36.114370567444702</v>
      </c>
      <c r="J19" s="2">
        <f t="shared" si="4"/>
        <v>18</v>
      </c>
      <c r="K19" s="3">
        <f t="shared" si="5"/>
        <v>0.6428571428571429</v>
      </c>
      <c r="L19" s="3">
        <f t="shared" si="6"/>
        <v>2.918923607801098E-2</v>
      </c>
      <c r="M19" s="3">
        <f t="shared" si="7"/>
        <v>3.3639293973535893</v>
      </c>
      <c r="N19" s="4">
        <f t="shared" si="9"/>
        <v>1</v>
      </c>
      <c r="O19" s="5">
        <f t="shared" si="10"/>
        <v>3363929397.3535895</v>
      </c>
    </row>
    <row r="20" spans="1:15" x14ac:dyDescent="0.3">
      <c r="A20" s="1">
        <v>59.082320000000003</v>
      </c>
      <c r="B20" s="1">
        <v>3029.40769</v>
      </c>
      <c r="C20" s="2">
        <f t="shared" si="0"/>
        <v>454.13639776275716</v>
      </c>
      <c r="D20" s="3">
        <f t="shared" si="1"/>
        <v>3.0294076900000002</v>
      </c>
      <c r="E20" s="3">
        <v>3.3304749400000002</v>
      </c>
      <c r="F20" s="2">
        <f t="shared" si="2"/>
        <v>19</v>
      </c>
      <c r="G20" s="3">
        <f t="shared" si="3"/>
        <v>0.6785714285714286</v>
      </c>
      <c r="H20" s="3">
        <f t="shared" si="8"/>
        <v>35.133324596324478</v>
      </c>
      <c r="I20" s="3">
        <v>36.260634315940571</v>
      </c>
      <c r="J20" s="2">
        <f t="shared" si="4"/>
        <v>19</v>
      </c>
      <c r="K20" s="3">
        <f t="shared" si="5"/>
        <v>0.6785714285714286</v>
      </c>
      <c r="L20" s="3">
        <f t="shared" si="6"/>
        <v>0.12661497045899217</v>
      </c>
      <c r="M20" s="3">
        <f t="shared" si="7"/>
        <v>3.8658079060909842</v>
      </c>
      <c r="N20" s="4">
        <f t="shared" si="9"/>
        <v>1</v>
      </c>
      <c r="O20" s="5">
        <f t="shared" si="10"/>
        <v>3865807906.0909839</v>
      </c>
    </row>
    <row r="21" spans="1:15" x14ac:dyDescent="0.3">
      <c r="A21" s="1">
        <v>69.311139999999995</v>
      </c>
      <c r="B21" s="1">
        <v>3999.2729899999999</v>
      </c>
      <c r="C21" s="2">
        <f t="shared" si="0"/>
        <v>577.03819805753699</v>
      </c>
      <c r="D21" s="3">
        <f t="shared" si="1"/>
        <v>3.9992729900000001</v>
      </c>
      <c r="E21" s="3">
        <v>3.33793871</v>
      </c>
      <c r="F21" s="2">
        <f t="shared" si="2"/>
        <v>20</v>
      </c>
      <c r="G21" s="3">
        <f t="shared" si="3"/>
        <v>0.7142857142857143</v>
      </c>
      <c r="H21" s="3">
        <f t="shared" si="8"/>
        <v>38.541358955293262</v>
      </c>
      <c r="I21" s="3">
        <v>36.287701437716088</v>
      </c>
      <c r="J21" s="2">
        <f t="shared" si="4"/>
        <v>20</v>
      </c>
      <c r="K21" s="3">
        <f t="shared" si="5"/>
        <v>0.7142857142857143</v>
      </c>
      <c r="L21" s="3">
        <f t="shared" si="6"/>
        <v>0.22535148682596154</v>
      </c>
      <c r="M21" s="3">
        <f t="shared" si="7"/>
        <v>3.2123637680868642</v>
      </c>
      <c r="N21" s="4">
        <f t="shared" si="9"/>
        <v>1</v>
      </c>
      <c r="O21" s="5">
        <f t="shared" si="10"/>
        <v>3212363768.0868645</v>
      </c>
    </row>
    <row r="22" spans="1:15" x14ac:dyDescent="0.3">
      <c r="A22" s="1">
        <v>57.22833</v>
      </c>
      <c r="B22" s="1">
        <v>3148.82431</v>
      </c>
      <c r="C22" s="2">
        <f t="shared" si="0"/>
        <v>432.92893115220767</v>
      </c>
      <c r="D22" s="3">
        <f t="shared" si="1"/>
        <v>3.1488243100000002</v>
      </c>
      <c r="E22" s="3">
        <v>3.3478762</v>
      </c>
      <c r="F22" s="2">
        <f t="shared" si="2"/>
        <v>21</v>
      </c>
      <c r="G22" s="3">
        <f t="shared" si="3"/>
        <v>0.75</v>
      </c>
      <c r="H22" s="3">
        <f t="shared" si="8"/>
        <v>35.589029917491743</v>
      </c>
      <c r="I22" s="3">
        <v>36.323676873665526</v>
      </c>
      <c r="J22" s="2">
        <f t="shared" si="4"/>
        <v>21</v>
      </c>
      <c r="K22" s="3">
        <f t="shared" si="5"/>
        <v>0.75</v>
      </c>
      <c r="L22" s="3">
        <f t="shared" si="6"/>
        <v>0.32663425997828094</v>
      </c>
      <c r="M22" s="3">
        <f t="shared" si="7"/>
        <v>3.7674410524661015</v>
      </c>
      <c r="N22" s="4">
        <f t="shared" si="9"/>
        <v>1</v>
      </c>
      <c r="O22" s="5">
        <f t="shared" si="10"/>
        <v>3767441052.4661021</v>
      </c>
    </row>
    <row r="23" spans="1:15" x14ac:dyDescent="0.3">
      <c r="A23" s="1">
        <v>57.624760000000002</v>
      </c>
      <c r="B23" s="1">
        <v>3092.9312100000002</v>
      </c>
      <c r="C23" s="2">
        <f t="shared" si="0"/>
        <v>437.43516681256062</v>
      </c>
      <c r="D23" s="3">
        <f t="shared" si="1"/>
        <v>3.0929312100000002</v>
      </c>
      <c r="E23" s="3">
        <v>3.46200916</v>
      </c>
      <c r="F23" s="2">
        <f t="shared" si="2"/>
        <v>22</v>
      </c>
      <c r="G23" s="3">
        <f t="shared" si="3"/>
        <v>0.7857142857142857</v>
      </c>
      <c r="H23" s="3">
        <f t="shared" si="8"/>
        <v>35.377197595462761</v>
      </c>
      <c r="I23" s="3">
        <v>36.731845126889624</v>
      </c>
      <c r="J23" s="2">
        <f t="shared" si="4"/>
        <v>22</v>
      </c>
      <c r="K23" s="3">
        <f t="shared" si="5"/>
        <v>0.7857142857142857</v>
      </c>
      <c r="L23" s="3">
        <f t="shared" si="6"/>
        <v>0.43207136230467502</v>
      </c>
      <c r="M23" s="3">
        <f t="shared" si="7"/>
        <v>3.812693654602032</v>
      </c>
      <c r="N23" s="4">
        <f t="shared" si="9"/>
        <v>1</v>
      </c>
      <c r="O23" s="5">
        <f t="shared" si="10"/>
        <v>3812693654.6020327</v>
      </c>
    </row>
    <row r="24" spans="1:15" x14ac:dyDescent="0.3">
      <c r="A24" s="1">
        <v>58.238</v>
      </c>
      <c r="B24" s="1">
        <v>3216.7956800000002</v>
      </c>
      <c r="C24" s="2">
        <f t="shared" si="0"/>
        <v>444.43645837990363</v>
      </c>
      <c r="D24" s="3">
        <f t="shared" si="1"/>
        <v>3.2167956800000002</v>
      </c>
      <c r="E24" s="3">
        <v>3.55059463</v>
      </c>
      <c r="F24" s="2">
        <f t="shared" si="2"/>
        <v>23</v>
      </c>
      <c r="G24" s="3">
        <f t="shared" si="3"/>
        <v>0.8214285714285714</v>
      </c>
      <c r="H24" s="3">
        <f t="shared" si="8"/>
        <v>35.843287240705806</v>
      </c>
      <c r="I24" s="3">
        <v>37.042506942699369</v>
      </c>
      <c r="J24" s="2">
        <f t="shared" si="4"/>
        <v>23</v>
      </c>
      <c r="K24" s="3">
        <f t="shared" si="5"/>
        <v>0.8214285714285714</v>
      </c>
      <c r="L24" s="3">
        <f t="shared" si="6"/>
        <v>0.54393148565433791</v>
      </c>
      <c r="M24" s="3">
        <f t="shared" si="7"/>
        <v>3.7141813164734789</v>
      </c>
      <c r="N24" s="4">
        <f t="shared" si="9"/>
        <v>1</v>
      </c>
      <c r="O24" s="5">
        <f t="shared" si="10"/>
        <v>3714181316.4734793</v>
      </c>
    </row>
    <row r="25" spans="1:15" x14ac:dyDescent="0.3">
      <c r="A25" s="1">
        <v>67.445359999999994</v>
      </c>
      <c r="B25" s="1">
        <v>4035.2186999999999</v>
      </c>
      <c r="C25" s="2">
        <f t="shared" si="0"/>
        <v>553.89585565033292</v>
      </c>
      <c r="D25" s="3">
        <f t="shared" si="1"/>
        <v>4.0352186999999997</v>
      </c>
      <c r="E25" s="3">
        <v>3.6713542400000003</v>
      </c>
      <c r="F25" s="2">
        <f t="shared" si="2"/>
        <v>24</v>
      </c>
      <c r="G25" s="3">
        <f t="shared" si="3"/>
        <v>0.8571428571428571</v>
      </c>
      <c r="H25" s="3">
        <f t="shared" si="8"/>
        <v>38.656485416341965</v>
      </c>
      <c r="I25" s="3">
        <v>37.457785971998092</v>
      </c>
      <c r="J25" s="2">
        <f t="shared" si="4"/>
        <v>24</v>
      </c>
      <c r="K25" s="3">
        <f t="shared" si="5"/>
        <v>0.8571428571428571</v>
      </c>
      <c r="L25" s="3">
        <f t="shared" si="6"/>
        <v>0.66572981057827629</v>
      </c>
      <c r="M25" s="3">
        <f t="shared" si="7"/>
        <v>3.1932581841922603</v>
      </c>
      <c r="N25" s="4">
        <f t="shared" si="9"/>
        <v>1</v>
      </c>
      <c r="O25" s="5">
        <f t="shared" si="10"/>
        <v>3193258184.1922607</v>
      </c>
    </row>
    <row r="26" spans="1:15" x14ac:dyDescent="0.3">
      <c r="A26" s="1">
        <v>56.969200000000001</v>
      </c>
      <c r="B26" s="1">
        <v>3044.9926399999999</v>
      </c>
      <c r="C26" s="2">
        <f t="shared" si="0"/>
        <v>429.99180758268125</v>
      </c>
      <c r="D26" s="3">
        <f t="shared" si="1"/>
        <v>3.0449926399999998</v>
      </c>
      <c r="E26" s="3">
        <v>3.7059550899999998</v>
      </c>
      <c r="F26" s="2">
        <f t="shared" si="2"/>
        <v>25</v>
      </c>
      <c r="G26" s="3">
        <f t="shared" si="3"/>
        <v>0.8928571428571429</v>
      </c>
      <c r="H26" s="3">
        <f t="shared" si="8"/>
        <v>35.193469996451803</v>
      </c>
      <c r="I26" s="3">
        <v>37.5750924395591</v>
      </c>
      <c r="J26" s="2">
        <f t="shared" si="4"/>
        <v>25</v>
      </c>
      <c r="K26" s="3">
        <f t="shared" si="5"/>
        <v>0.8928571428571429</v>
      </c>
      <c r="L26" s="3">
        <f t="shared" si="6"/>
        <v>0.8036111510884012</v>
      </c>
      <c r="M26" s="3">
        <f t="shared" si="7"/>
        <v>3.852605918116089</v>
      </c>
      <c r="N26" s="4">
        <f t="shared" si="9"/>
        <v>1</v>
      </c>
      <c r="O26" s="5">
        <f t="shared" si="10"/>
        <v>3852605918.1160893</v>
      </c>
    </row>
    <row r="27" spans="1:15" x14ac:dyDescent="0.3">
      <c r="A27" s="1">
        <v>60.181660000000001</v>
      </c>
      <c r="B27" s="1">
        <v>3347.8762000000002</v>
      </c>
      <c r="C27" s="2">
        <f t="shared" si="0"/>
        <v>466.87029682648733</v>
      </c>
      <c r="D27" s="3">
        <f t="shared" si="1"/>
        <v>3.3478762</v>
      </c>
      <c r="E27" s="3">
        <v>3.73205315</v>
      </c>
      <c r="F27" s="2">
        <f t="shared" si="2"/>
        <v>26</v>
      </c>
      <c r="G27" s="3">
        <f t="shared" si="3"/>
        <v>0.9285714285714286</v>
      </c>
      <c r="H27" s="3">
        <f t="shared" si="8"/>
        <v>36.323676873665526</v>
      </c>
      <c r="I27" s="3">
        <v>37.663089911313193</v>
      </c>
      <c r="J27" s="2">
        <f t="shared" si="4"/>
        <v>26</v>
      </c>
      <c r="K27" s="3">
        <f t="shared" si="5"/>
        <v>0.9285714285714286</v>
      </c>
      <c r="L27" s="3">
        <f t="shared" si="6"/>
        <v>0.97042178127736523</v>
      </c>
      <c r="M27" s="3">
        <f t="shared" si="7"/>
        <v>3.6165890158130227</v>
      </c>
      <c r="N27" s="4">
        <f t="shared" si="9"/>
        <v>1</v>
      </c>
      <c r="O27" s="5">
        <f t="shared" si="10"/>
        <v>3616589015.8130226</v>
      </c>
    </row>
    <row r="28" spans="1:15" x14ac:dyDescent="0.3">
      <c r="A28" s="1">
        <v>53.20252</v>
      </c>
      <c r="B28" s="1">
        <v>2853.2995099999998</v>
      </c>
      <c r="C28" s="2">
        <f t="shared" si="0"/>
        <v>388.05948722836274</v>
      </c>
      <c r="D28" s="3">
        <f t="shared" si="1"/>
        <v>2.8532995099999998</v>
      </c>
      <c r="E28" s="3">
        <v>3.9992729900000001</v>
      </c>
      <c r="F28" s="2">
        <f t="shared" si="2"/>
        <v>27</v>
      </c>
      <c r="G28" s="3">
        <f t="shared" si="3"/>
        <v>0.9642857142857143</v>
      </c>
      <c r="H28" s="3">
        <f t="shared" si="8"/>
        <v>34.438888598650912</v>
      </c>
      <c r="I28" s="3">
        <v>38.541358955293262</v>
      </c>
      <c r="J28" s="2">
        <f t="shared" si="4"/>
        <v>27</v>
      </c>
      <c r="K28" s="3">
        <f t="shared" si="5"/>
        <v>0.9642857142857143</v>
      </c>
      <c r="L28" s="3">
        <f t="shared" si="6"/>
        <v>1.2036341000246709</v>
      </c>
      <c r="M28" s="3">
        <f t="shared" si="7"/>
        <v>4.0232823412511776</v>
      </c>
      <c r="N28" s="4">
        <f t="shared" si="9"/>
        <v>1</v>
      </c>
      <c r="O28" s="5">
        <f t="shared" si="10"/>
        <v>4023282341.2511778</v>
      </c>
    </row>
    <row r="29" spans="1:15" x14ac:dyDescent="0.3">
      <c r="A29" s="1">
        <v>49.869660000000003</v>
      </c>
      <c r="B29" s="1">
        <v>2573.08572</v>
      </c>
      <c r="C29" s="2">
        <f t="shared" si="0"/>
        <v>352.17182746928654</v>
      </c>
      <c r="D29" s="3">
        <f t="shared" si="1"/>
        <v>2.5730857199999999</v>
      </c>
      <c r="E29" s="3">
        <v>4.0352186999999997</v>
      </c>
      <c r="F29" s="2">
        <f t="shared" si="2"/>
        <v>28</v>
      </c>
      <c r="G29" s="3">
        <f t="shared" si="3"/>
        <v>1</v>
      </c>
      <c r="H29" s="3">
        <f t="shared" si="8"/>
        <v>33.272448269223261</v>
      </c>
      <c r="I29" s="3">
        <v>38.656485416341965</v>
      </c>
      <c r="J29" s="2">
        <f t="shared" si="4"/>
        <v>28</v>
      </c>
      <c r="K29" s="3">
        <f t="shared" si="5"/>
        <v>1</v>
      </c>
      <c r="L29" s="3" t="e">
        <f t="shared" si="6"/>
        <v>#DIV/0!</v>
      </c>
      <c r="M29" s="3">
        <f t="shared" si="7"/>
        <v>4.3103173763449618</v>
      </c>
      <c r="N29" s="4">
        <f t="shared" si="9"/>
        <v>1</v>
      </c>
      <c r="O29" s="5">
        <f t="shared" si="10"/>
        <v>4310317376.3449621</v>
      </c>
    </row>
    <row r="30" spans="1:15" x14ac:dyDescent="0.3">
      <c r="A30" s="4"/>
      <c r="B30" s="2"/>
      <c r="C30" s="2"/>
      <c r="D30" s="3"/>
      <c r="E30" s="3"/>
      <c r="F30" s="2"/>
      <c r="G30" s="3"/>
      <c r="H30" s="3"/>
      <c r="I30" s="3"/>
      <c r="J30" s="2"/>
      <c r="K30" s="3"/>
      <c r="L30" s="3"/>
      <c r="M30" s="3"/>
      <c r="N30" s="4"/>
      <c r="O30" s="5"/>
    </row>
    <row r="31" spans="1:15" x14ac:dyDescent="0.3">
      <c r="A31" s="4"/>
      <c r="B31" s="2"/>
      <c r="C31" s="2"/>
      <c r="D31" s="3"/>
      <c r="E31" s="3"/>
      <c r="F31" s="2"/>
      <c r="G31" s="3"/>
      <c r="H31" s="3"/>
      <c r="I31" s="3"/>
      <c r="J31" s="2"/>
      <c r="K31" s="3"/>
      <c r="L31" s="3"/>
      <c r="M31" s="3"/>
      <c r="N31" s="4"/>
      <c r="O31" s="5"/>
    </row>
    <row r="32" spans="1:15" x14ac:dyDescent="0.3">
      <c r="A32" s="4">
        <f>AVERAGE(A2:A29)</f>
        <v>59.027033571428568</v>
      </c>
      <c r="B32" s="4">
        <f>AVERAGE(B2:B29)</f>
        <v>3219.2302032142848</v>
      </c>
      <c r="C32" s="4">
        <f t="shared" ref="B32:D32" si="11">AVERAGE(C2:C29)</f>
        <v>454.60445399590469</v>
      </c>
      <c r="D32" s="4">
        <f t="shared" si="11"/>
        <v>3.2192302032142863</v>
      </c>
      <c r="E32" s="3"/>
      <c r="F32" s="2"/>
      <c r="G32" s="3"/>
      <c r="H32" s="3"/>
      <c r="I32" s="6"/>
      <c r="J32" s="2"/>
      <c r="K32" s="3"/>
      <c r="L32" s="3"/>
      <c r="M32" s="3"/>
      <c r="N32" s="4"/>
      <c r="O32" s="5"/>
    </row>
    <row r="33" spans="1:15" x14ac:dyDescent="0.3">
      <c r="A33" s="4">
        <f>_xlfn.STDEV.S(A2:A29)</f>
        <v>4.8470306354281849</v>
      </c>
      <c r="B33" s="4">
        <f t="shared" ref="B33:D33" si="12">_xlfn.STDEV.S(B2:B29)</f>
        <v>381.7647869018345</v>
      </c>
      <c r="C33" s="4">
        <f t="shared" si="12"/>
        <v>55.962685516365461</v>
      </c>
      <c r="D33" s="4">
        <f t="shared" si="12"/>
        <v>0.3817647869018212</v>
      </c>
      <c r="E33" s="3"/>
      <c r="F33" s="2"/>
      <c r="G33" s="3"/>
      <c r="H33" s="3"/>
      <c r="I33" s="3"/>
      <c r="J33" s="2"/>
      <c r="K33" s="3"/>
      <c r="L33" s="3"/>
      <c r="M33" s="3"/>
      <c r="N33" s="4"/>
      <c r="O33" s="5"/>
    </row>
    <row r="34" spans="1:15" x14ac:dyDescent="0.3">
      <c r="A34" s="4"/>
      <c r="B34" s="2"/>
      <c r="C34" s="2"/>
      <c r="D34" s="3"/>
      <c r="E34" s="3"/>
      <c r="F34" s="2"/>
      <c r="G34" s="3"/>
      <c r="H34" s="3"/>
      <c r="I34" s="3"/>
      <c r="J34" s="2"/>
      <c r="K34" s="3"/>
      <c r="L34" s="3"/>
      <c r="M34" s="3"/>
      <c r="N34" s="4"/>
      <c r="O34" s="5"/>
    </row>
    <row r="35" spans="1:15" x14ac:dyDescent="0.3">
      <c r="A35" s="4"/>
      <c r="B35" s="2"/>
      <c r="C35" s="2"/>
      <c r="D35" s="3"/>
      <c r="E35" s="3"/>
      <c r="F35" s="2"/>
      <c r="G35" s="3"/>
      <c r="H35" s="3"/>
      <c r="I35" s="3"/>
      <c r="J35" s="2"/>
      <c r="K35" s="3"/>
      <c r="L35" s="3"/>
      <c r="M35" s="3"/>
      <c r="N35" s="4"/>
      <c r="O35" s="5"/>
    </row>
    <row r="36" spans="1:15" x14ac:dyDescent="0.3">
      <c r="A36" s="4"/>
      <c r="B36" s="2"/>
      <c r="C36" s="2"/>
      <c r="D36" s="3"/>
      <c r="E36" s="3"/>
      <c r="F36" s="2"/>
      <c r="G36" s="3"/>
      <c r="H36" s="3"/>
      <c r="I36" s="3"/>
      <c r="J36" s="2"/>
      <c r="K36" s="3"/>
      <c r="L36" s="3"/>
      <c r="M36" s="3"/>
      <c r="N36" s="4"/>
      <c r="O36" s="5"/>
    </row>
    <row r="37" spans="1:15" x14ac:dyDescent="0.3">
      <c r="A37" s="4"/>
      <c r="B37" s="2"/>
      <c r="C37" s="2"/>
      <c r="D37" s="3"/>
      <c r="E37" s="3"/>
      <c r="F37" s="2"/>
      <c r="G37" s="3"/>
      <c r="H37" s="3"/>
      <c r="I37" s="3"/>
      <c r="J37" s="2"/>
      <c r="K37" s="3"/>
      <c r="L37" s="3"/>
      <c r="M37" s="3"/>
      <c r="N37" s="4"/>
      <c r="O37" s="5"/>
    </row>
    <row r="38" spans="1:15" x14ac:dyDescent="0.3">
      <c r="A38" s="4"/>
      <c r="B38" s="2"/>
      <c r="C38" s="2"/>
      <c r="D38" s="3"/>
      <c r="E38" s="3"/>
      <c r="F38" s="2"/>
      <c r="G38" s="3"/>
      <c r="H38" s="3"/>
      <c r="I38" s="3"/>
      <c r="J38" s="2"/>
      <c r="K38" s="3"/>
      <c r="L38" s="3"/>
      <c r="M38" s="3"/>
      <c r="N38" s="4"/>
      <c r="O38" s="5"/>
    </row>
    <row r="39" spans="1:15" x14ac:dyDescent="0.3">
      <c r="A39" s="4"/>
      <c r="B39" s="2"/>
      <c r="C39" s="2"/>
      <c r="D39" s="3"/>
      <c r="E39" s="3"/>
      <c r="F39" s="2"/>
      <c r="G39" s="3"/>
      <c r="H39" s="3"/>
      <c r="I39" s="3"/>
      <c r="J39" s="2"/>
      <c r="K39" s="3"/>
      <c r="L39" s="3"/>
      <c r="M39" s="3"/>
      <c r="N39" s="4"/>
      <c r="O39" s="5"/>
    </row>
    <row r="40" spans="1:15" x14ac:dyDescent="0.3">
      <c r="A40" s="4"/>
      <c r="B40" s="2"/>
      <c r="C40" s="2"/>
      <c r="D40" s="3"/>
      <c r="E40" s="3"/>
      <c r="F40" s="2"/>
      <c r="G40" s="3"/>
      <c r="H40" s="3"/>
      <c r="I40" s="3"/>
      <c r="J40" s="2"/>
      <c r="K40" s="3"/>
      <c r="L40" s="3"/>
      <c r="M40" s="3"/>
      <c r="N40" s="4"/>
      <c r="O40" s="5"/>
    </row>
    <row r="41" spans="1:15" x14ac:dyDescent="0.3">
      <c r="A41" s="4"/>
      <c r="B41" s="2"/>
      <c r="C41" s="2"/>
      <c r="D41" s="3"/>
      <c r="E41" s="3"/>
      <c r="F41" s="2"/>
      <c r="G41" s="3"/>
      <c r="H41" s="3"/>
      <c r="I41" s="3"/>
      <c r="J41" s="2"/>
      <c r="K41" s="3"/>
      <c r="L41" s="3"/>
      <c r="M41" s="3"/>
      <c r="N41" s="4"/>
      <c r="O41" s="5"/>
    </row>
    <row r="42" spans="1:15" x14ac:dyDescent="0.3">
      <c r="A42" s="4"/>
      <c r="B42" s="2"/>
      <c r="C42" s="2"/>
      <c r="D42" s="3"/>
      <c r="E42" s="3"/>
      <c r="F42" s="2"/>
      <c r="G42" s="3"/>
      <c r="H42" s="3"/>
      <c r="I42" s="3"/>
      <c r="J42" s="2"/>
      <c r="K42" s="3"/>
      <c r="L42" s="3"/>
      <c r="M42" s="3"/>
      <c r="N42" s="4"/>
      <c r="O42" s="5"/>
    </row>
    <row r="43" spans="1:15" x14ac:dyDescent="0.3">
      <c r="A43" s="4"/>
      <c r="B43" s="2"/>
      <c r="C43" s="2"/>
      <c r="D43" s="3"/>
      <c r="E43" s="3"/>
      <c r="F43" s="2"/>
      <c r="G43" s="3"/>
      <c r="H43" s="3"/>
      <c r="I43" s="3"/>
      <c r="J43" s="2"/>
      <c r="K43" s="3"/>
      <c r="L43" s="3"/>
      <c r="M43" s="3"/>
      <c r="N43" s="4"/>
      <c r="O43" s="5"/>
    </row>
    <row r="44" spans="1:15" x14ac:dyDescent="0.3">
      <c r="A44" s="4"/>
      <c r="B44" s="2"/>
      <c r="C44" s="2"/>
      <c r="D44" s="3"/>
      <c r="E44" s="3"/>
      <c r="F44" s="2"/>
      <c r="G44" s="3"/>
      <c r="H44" s="3"/>
      <c r="I44" s="3"/>
      <c r="J44" s="2"/>
      <c r="K44" s="3"/>
      <c r="L44" s="3"/>
      <c r="M44" s="3"/>
      <c r="N44" s="4"/>
      <c r="O44" s="5"/>
    </row>
    <row r="45" spans="1:15" x14ac:dyDescent="0.3">
      <c r="A45" s="4"/>
      <c r="B45" s="2"/>
      <c r="C45" s="2"/>
      <c r="D45" s="3"/>
      <c r="E45" s="3"/>
      <c r="F45" s="2"/>
      <c r="G45" s="3"/>
      <c r="H45" s="3"/>
      <c r="I45" s="6"/>
      <c r="J45" s="2"/>
      <c r="K45" s="3"/>
      <c r="L45" s="3"/>
      <c r="M45" s="3"/>
      <c r="N45" s="4"/>
      <c r="O45" s="5"/>
    </row>
    <row r="46" spans="1:15" x14ac:dyDescent="0.3">
      <c r="A46" s="4"/>
      <c r="B46" s="2"/>
      <c r="C46" s="2"/>
      <c r="D46" s="3"/>
      <c r="E46" s="3"/>
      <c r="F46" s="2"/>
      <c r="G46" s="3"/>
      <c r="H46" s="3"/>
      <c r="I46" s="3"/>
      <c r="J46" s="2"/>
      <c r="K46" s="3"/>
      <c r="L46" s="3"/>
      <c r="M46" s="3"/>
      <c r="N46" s="4"/>
      <c r="O46" s="5"/>
    </row>
    <row r="47" spans="1:15" x14ac:dyDescent="0.3">
      <c r="A47" s="4"/>
      <c r="B47" s="2"/>
      <c r="C47" s="2"/>
      <c r="D47" s="3"/>
      <c r="E47" s="3"/>
      <c r="F47" s="2"/>
      <c r="G47" s="3"/>
      <c r="H47" s="3"/>
      <c r="I47" s="3"/>
      <c r="J47" s="2"/>
      <c r="K47" s="3"/>
      <c r="L47" s="3"/>
      <c r="M47" s="3"/>
      <c r="N47" s="4"/>
      <c r="O47" s="5"/>
    </row>
    <row r="48" spans="1:15" x14ac:dyDescent="0.3">
      <c r="A48" s="4"/>
      <c r="B48" s="2"/>
      <c r="C48" s="2"/>
      <c r="D48" s="3"/>
      <c r="E48" s="3"/>
      <c r="F48" s="2"/>
      <c r="G48" s="3"/>
      <c r="H48" s="3"/>
      <c r="I48" s="6"/>
      <c r="J48" s="2"/>
      <c r="K48" s="3"/>
      <c r="L48" s="3"/>
      <c r="M48" s="3"/>
      <c r="N48" s="4"/>
      <c r="O48" s="5"/>
    </row>
    <row r="49" spans="1:15" x14ac:dyDescent="0.3">
      <c r="A49" s="4"/>
      <c r="B49" s="2"/>
      <c r="C49" s="2"/>
      <c r="D49" s="3"/>
      <c r="E49" s="3"/>
      <c r="F49" s="2"/>
      <c r="G49" s="3"/>
      <c r="H49" s="3"/>
      <c r="I49" s="3"/>
      <c r="J49" s="2"/>
      <c r="K49" s="3"/>
      <c r="L49" s="3"/>
      <c r="M49" s="3"/>
      <c r="N49" s="4"/>
      <c r="O49" s="5"/>
    </row>
    <row r="50" spans="1:15" x14ac:dyDescent="0.3">
      <c r="A50" s="4"/>
      <c r="B50" s="2"/>
      <c r="C50" s="2"/>
      <c r="D50" s="3"/>
      <c r="E50" s="3"/>
      <c r="F50" s="2"/>
      <c r="G50" s="3"/>
      <c r="H50" s="3"/>
      <c r="I50" s="6"/>
      <c r="J50" s="2"/>
      <c r="K50" s="3"/>
      <c r="L50" s="3"/>
      <c r="M50" s="3"/>
      <c r="N50" s="4"/>
      <c r="O50" s="5"/>
    </row>
    <row r="51" spans="1:15" x14ac:dyDescent="0.3">
      <c r="A51" s="4"/>
      <c r="B51" s="2"/>
      <c r="C51" s="2"/>
      <c r="D51" s="3"/>
      <c r="E51" s="3"/>
      <c r="F51" s="2"/>
      <c r="G51" s="3"/>
      <c r="H51" s="3"/>
      <c r="I51" s="3"/>
      <c r="J51" s="2"/>
      <c r="K51" s="3"/>
      <c r="L51" s="3"/>
      <c r="M51" s="3"/>
      <c r="N51" s="4"/>
      <c r="O51" s="5"/>
    </row>
    <row r="52" spans="1:15" x14ac:dyDescent="0.3">
      <c r="A52" s="4"/>
      <c r="B52" s="2"/>
      <c r="C52" s="2"/>
      <c r="D52" s="3"/>
      <c r="E52" s="3"/>
      <c r="F52" s="2"/>
      <c r="G52" s="3"/>
      <c r="H52" s="3"/>
      <c r="I52" s="3"/>
      <c r="J52" s="2"/>
      <c r="K52" s="3"/>
      <c r="L52" s="3"/>
      <c r="M52" s="3"/>
      <c r="N52" s="4"/>
      <c r="O52" s="5"/>
    </row>
    <row r="53" spans="1:15" x14ac:dyDescent="0.3">
      <c r="A53" s="4"/>
      <c r="B53" s="2"/>
      <c r="C53" s="2"/>
      <c r="D53" s="3"/>
      <c r="E53" s="3"/>
      <c r="F53" s="2"/>
      <c r="G53" s="3"/>
      <c r="H53" s="3"/>
      <c r="I53" s="3"/>
      <c r="J53" s="2"/>
      <c r="K53" s="3"/>
      <c r="L53" s="3"/>
      <c r="M53" s="3"/>
      <c r="N53" s="4"/>
      <c r="O53" s="5"/>
    </row>
    <row r="54" spans="1:15" x14ac:dyDescent="0.3">
      <c r="A54" s="4"/>
      <c r="B54" s="2"/>
      <c r="C54" s="2"/>
      <c r="D54" s="3"/>
      <c r="E54" s="3"/>
      <c r="F54" s="2"/>
      <c r="G54" s="3"/>
      <c r="H54" s="3"/>
      <c r="I54" s="3"/>
      <c r="J54" s="2"/>
      <c r="K54" s="3"/>
      <c r="L54" s="3"/>
      <c r="M54" s="3"/>
      <c r="N54" s="4"/>
      <c r="O54" s="5"/>
    </row>
    <row r="55" spans="1:15" x14ac:dyDescent="0.3">
      <c r="A55" s="4"/>
      <c r="B55" s="2"/>
      <c r="C55" s="2"/>
      <c r="D55" s="3"/>
      <c r="E55" s="3"/>
      <c r="F55" s="2"/>
      <c r="G55" s="3"/>
      <c r="H55" s="3"/>
      <c r="I55" s="6"/>
      <c r="J55" s="2"/>
      <c r="K55" s="3"/>
      <c r="L55" s="3"/>
      <c r="M55" s="3"/>
      <c r="N55" s="4"/>
      <c r="O55" s="5"/>
    </row>
    <row r="56" spans="1:15" x14ac:dyDescent="0.3">
      <c r="A56" s="4"/>
      <c r="B56" s="2"/>
      <c r="C56" s="2"/>
      <c r="D56" s="3"/>
      <c r="E56" s="3"/>
      <c r="F56" s="2"/>
      <c r="G56" s="3"/>
      <c r="H56" s="3"/>
      <c r="I56" s="3"/>
      <c r="J56" s="2"/>
      <c r="K56" s="3"/>
      <c r="L56" s="3"/>
      <c r="M56" s="3"/>
      <c r="N56" s="4"/>
      <c r="O56" s="5"/>
    </row>
    <row r="57" spans="1:15" x14ac:dyDescent="0.3">
      <c r="A57" s="4"/>
      <c r="B57" s="2"/>
      <c r="C57" s="2"/>
      <c r="D57" s="3"/>
      <c r="E57" s="3"/>
      <c r="F57" s="2"/>
      <c r="G57" s="3"/>
      <c r="H57" s="3"/>
      <c r="I57" s="6"/>
      <c r="J57" s="2"/>
      <c r="K57" s="3"/>
      <c r="L57" s="3"/>
      <c r="M57" s="3"/>
      <c r="N57" s="4"/>
      <c r="O57" s="5"/>
    </row>
    <row r="58" spans="1:15" x14ac:dyDescent="0.3">
      <c r="A58" s="4"/>
      <c r="B58" s="2"/>
      <c r="C58" s="2"/>
      <c r="D58" s="3"/>
      <c r="E58" s="3"/>
      <c r="F58" s="2"/>
      <c r="G58" s="3"/>
      <c r="H58" s="3"/>
      <c r="I58" s="3"/>
      <c r="J58" s="2"/>
      <c r="K58" s="3"/>
      <c r="L58" s="3"/>
      <c r="M58" s="3"/>
      <c r="N58" s="4"/>
      <c r="O58" s="5"/>
    </row>
    <row r="59" spans="1:15" x14ac:dyDescent="0.3">
      <c r="A59" s="4"/>
      <c r="B59" s="2"/>
      <c r="C59" s="2"/>
      <c r="D59" s="3"/>
      <c r="E59" s="3"/>
      <c r="F59" s="2"/>
      <c r="G59" s="3"/>
      <c r="H59" s="3"/>
      <c r="I59" s="3"/>
      <c r="J59" s="2"/>
      <c r="K59" s="3"/>
      <c r="L59" s="3"/>
      <c r="M59" s="3"/>
      <c r="N59" s="4"/>
      <c r="O59" s="5"/>
    </row>
    <row r="60" spans="1:15" x14ac:dyDescent="0.3">
      <c r="A60" s="4"/>
      <c r="B60" s="2"/>
      <c r="C60" s="2"/>
      <c r="D60" s="3"/>
      <c r="E60" s="3"/>
      <c r="F60" s="2"/>
      <c r="G60" s="3"/>
      <c r="H60" s="3"/>
      <c r="I60" s="3"/>
      <c r="J60" s="2"/>
      <c r="K60" s="3"/>
      <c r="L60" s="3"/>
      <c r="M60" s="3"/>
      <c r="N60" s="4"/>
      <c r="O60" s="5"/>
    </row>
    <row r="61" spans="1:15" x14ac:dyDescent="0.3">
      <c r="A61" s="4"/>
      <c r="B61" s="2"/>
      <c r="C61" s="2"/>
      <c r="D61" s="3"/>
      <c r="E61" s="3"/>
      <c r="F61" s="2"/>
      <c r="G61" s="3"/>
      <c r="H61" s="3"/>
      <c r="I61" s="3"/>
      <c r="J61" s="2"/>
      <c r="K61" s="3"/>
      <c r="L61" s="3"/>
      <c r="M61" s="3"/>
      <c r="N61" s="4"/>
      <c r="O61" s="5"/>
    </row>
    <row r="62" spans="1:15" x14ac:dyDescent="0.3">
      <c r="A62" s="4"/>
      <c r="B62" s="2"/>
      <c r="C62" s="2"/>
      <c r="D62" s="3"/>
      <c r="E62" s="3"/>
      <c r="F62" s="2"/>
      <c r="G62" s="3"/>
      <c r="H62" s="3"/>
      <c r="I62" s="6"/>
      <c r="J62" s="2"/>
      <c r="K62" s="3"/>
      <c r="L62" s="3"/>
      <c r="M62" s="3"/>
      <c r="N62" s="4"/>
      <c r="O62" s="5"/>
    </row>
    <row r="63" spans="1:15" x14ac:dyDescent="0.3">
      <c r="A63" s="4"/>
      <c r="B63" s="2"/>
      <c r="C63" s="2"/>
      <c r="D63" s="3"/>
      <c r="E63" s="3"/>
      <c r="F63" s="2"/>
      <c r="G63" s="3"/>
      <c r="H63" s="3"/>
      <c r="I63" s="3"/>
      <c r="J63" s="2"/>
      <c r="K63" s="3"/>
      <c r="L63" s="3"/>
      <c r="M63" s="3"/>
      <c r="N63" s="4"/>
      <c r="O63" s="5"/>
    </row>
    <row r="64" spans="1:15" x14ac:dyDescent="0.3">
      <c r="A64" s="4"/>
      <c r="B64" s="2"/>
      <c r="C64" s="2"/>
      <c r="D64" s="3"/>
      <c r="E64" s="3"/>
      <c r="F64" s="2"/>
      <c r="G64" s="3"/>
      <c r="H64" s="3"/>
      <c r="I64" s="3"/>
      <c r="J64" s="2"/>
      <c r="K64" s="3"/>
      <c r="L64" s="3"/>
      <c r="M64" s="3"/>
      <c r="N64" s="4"/>
      <c r="O64" s="5"/>
    </row>
    <row r="65" spans="1:15" x14ac:dyDescent="0.3">
      <c r="A65" s="4"/>
      <c r="B65" s="2"/>
      <c r="C65" s="2"/>
      <c r="D65" s="3"/>
      <c r="E65" s="3"/>
      <c r="F65" s="2"/>
      <c r="G65" s="3"/>
      <c r="H65" s="3"/>
      <c r="I65" s="3"/>
      <c r="J65" s="2"/>
      <c r="K65" s="3"/>
      <c r="L65" s="3"/>
      <c r="M65" s="3"/>
      <c r="N65" s="4"/>
      <c r="O65" s="5"/>
    </row>
    <row r="66" spans="1:15" x14ac:dyDescent="0.3">
      <c r="A66" s="4"/>
      <c r="B66" s="2"/>
      <c r="C66" s="2"/>
      <c r="D66" s="3"/>
      <c r="E66" s="3"/>
      <c r="F66" s="2"/>
      <c r="G66" s="3"/>
      <c r="H66" s="3"/>
      <c r="I66" s="3"/>
      <c r="J66" s="2"/>
      <c r="K66" s="3"/>
      <c r="L66" s="3"/>
      <c r="M66" s="3"/>
      <c r="N66" s="4"/>
      <c r="O66" s="5"/>
    </row>
    <row r="67" spans="1:15" x14ac:dyDescent="0.3">
      <c r="A67" s="4"/>
      <c r="B67" s="2"/>
      <c r="C67" s="2"/>
      <c r="D67" s="3"/>
      <c r="E67" s="3"/>
      <c r="F67" s="2"/>
      <c r="G67" s="3"/>
      <c r="H67" s="3"/>
      <c r="I67" s="3"/>
      <c r="J67" s="2"/>
      <c r="K67" s="3"/>
      <c r="L67" s="3"/>
      <c r="M67" s="3"/>
      <c r="N67" s="4"/>
      <c r="O67" s="5"/>
    </row>
    <row r="68" spans="1:15" x14ac:dyDescent="0.3">
      <c r="A68" s="4"/>
      <c r="B68" s="2"/>
      <c r="C68" s="2"/>
      <c r="D68" s="3"/>
      <c r="E68" s="3"/>
      <c r="F68" s="2"/>
      <c r="G68" s="3"/>
      <c r="H68" s="3"/>
      <c r="I68" s="6"/>
      <c r="J68" s="2"/>
      <c r="K68" s="3"/>
      <c r="L68" s="3"/>
      <c r="M68" s="3"/>
      <c r="N68" s="4"/>
      <c r="O68" s="5"/>
    </row>
    <row r="69" spans="1:15" x14ac:dyDescent="0.3">
      <c r="A69" s="4"/>
      <c r="B69" s="2"/>
      <c r="C69" s="2"/>
      <c r="D69" s="3"/>
      <c r="E69" s="3"/>
      <c r="F69" s="2"/>
      <c r="G69" s="3"/>
      <c r="H69" s="3"/>
      <c r="I69" s="3"/>
      <c r="J69" s="2"/>
      <c r="K69" s="3"/>
      <c r="L69" s="3"/>
      <c r="M69" s="3"/>
      <c r="N69" s="4"/>
      <c r="O69" s="5"/>
    </row>
    <row r="70" spans="1:15" x14ac:dyDescent="0.3">
      <c r="A70" s="4"/>
      <c r="B70" s="2"/>
      <c r="C70" s="2"/>
      <c r="D70" s="3"/>
      <c r="E70" s="3"/>
      <c r="F70" s="2"/>
      <c r="G70" s="3"/>
      <c r="H70" s="3"/>
      <c r="I70" s="3"/>
      <c r="J70" s="2"/>
      <c r="K70" s="3"/>
      <c r="L70" s="3"/>
      <c r="M70" s="3"/>
      <c r="N70" s="4"/>
      <c r="O70" s="5"/>
    </row>
    <row r="71" spans="1:15" x14ac:dyDescent="0.3">
      <c r="A71" s="4"/>
      <c r="B71" s="2"/>
      <c r="C71" s="2"/>
      <c r="D71" s="3"/>
      <c r="E71" s="3"/>
      <c r="F71" s="2"/>
      <c r="G71" s="3"/>
      <c r="H71" s="3"/>
      <c r="I71" s="3"/>
      <c r="J71" s="2"/>
      <c r="K71" s="3"/>
      <c r="L71" s="3"/>
      <c r="M71" s="3"/>
      <c r="N71" s="4"/>
      <c r="O71" s="5"/>
    </row>
    <row r="72" spans="1:15" x14ac:dyDescent="0.3">
      <c r="A72" s="4"/>
      <c r="B72" s="2"/>
      <c r="C72" s="2"/>
      <c r="D72" s="3"/>
      <c r="E72" s="3"/>
      <c r="F72" s="2"/>
      <c r="G72" s="3"/>
      <c r="H72" s="3"/>
      <c r="I72" s="6"/>
      <c r="J72" s="2"/>
      <c r="K72" s="3"/>
      <c r="L72" s="3"/>
      <c r="M72" s="3"/>
      <c r="N72" s="4"/>
      <c r="O72" s="5"/>
    </row>
    <row r="73" spans="1:15" x14ac:dyDescent="0.3">
      <c r="A73" s="4"/>
      <c r="B73" s="2"/>
      <c r="C73" s="2"/>
      <c r="D73" s="3"/>
      <c r="E73" s="3"/>
      <c r="F73" s="2"/>
      <c r="G73" s="3"/>
      <c r="H73" s="3"/>
      <c r="I73" s="3"/>
      <c r="J73" s="2"/>
      <c r="K73" s="3"/>
      <c r="L73" s="3"/>
      <c r="M73" s="3"/>
      <c r="N73" s="4"/>
      <c r="O73" s="5"/>
    </row>
    <row r="74" spans="1:15" x14ac:dyDescent="0.3">
      <c r="A74" s="4"/>
      <c r="B74" s="2"/>
      <c r="C74" s="2"/>
      <c r="D74" s="3"/>
      <c r="E74" s="6"/>
      <c r="F74" s="2"/>
      <c r="G74" s="3"/>
      <c r="H74" s="3"/>
      <c r="I74" s="3"/>
      <c r="J74" s="2"/>
      <c r="K74" s="3"/>
      <c r="L74" s="3"/>
      <c r="M74" s="3"/>
      <c r="N74" s="4"/>
      <c r="O7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710C-0DBD-4729-A362-2315C65E9088}">
  <dimension ref="A1:O74"/>
  <sheetViews>
    <sheetView workbookViewId="0">
      <selection activeCell="O20" sqref="O20"/>
    </sheetView>
  </sheetViews>
  <sheetFormatPr defaultRowHeight="14.4" x14ac:dyDescent="0.3"/>
  <cols>
    <col min="2" max="2" width="9.5546875" bestFit="1" customWidth="1"/>
    <col min="15" max="15" width="12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2" t="s">
        <v>7</v>
      </c>
      <c r="K1" s="1" t="s">
        <v>5</v>
      </c>
      <c r="L1" s="1" t="s">
        <v>8</v>
      </c>
      <c r="M1" s="1" t="s">
        <v>9</v>
      </c>
      <c r="N1" s="1"/>
      <c r="O1" s="1" t="s">
        <v>10</v>
      </c>
    </row>
    <row r="2" spans="1:15" x14ac:dyDescent="0.3">
      <c r="A2" s="1">
        <v>76.479089999999999</v>
      </c>
      <c r="B2" s="1">
        <v>3516.93876</v>
      </c>
      <c r="C2" s="2">
        <f t="shared" ref="C2:C29" si="0">A2^(3/2)</f>
        <v>668.82741697107986</v>
      </c>
      <c r="D2" s="3">
        <f t="shared" ref="D2:D29" si="1">B2/1000</f>
        <v>3.5169387599999999</v>
      </c>
      <c r="E2" s="3">
        <v>3.13191723</v>
      </c>
      <c r="F2" s="2">
        <f t="shared" ref="F2:F29" si="2">_xlfn.RANK.AVG(E2,$E$2:$E$111,2)</f>
        <v>1</v>
      </c>
      <c r="G2" s="3">
        <f t="shared" ref="G2:G29" si="3">F2/COUNT(E:E)</f>
        <v>3.5714285714285712E-2</v>
      </c>
      <c r="H2" s="3">
        <f>(0.47/3.14159)*(((4*252.23)/(3*230))^(2/3)) * (D2^(1/3)) * 100</f>
        <v>29.309498066371091</v>
      </c>
      <c r="I2" s="3">
        <v>28.198339677174339</v>
      </c>
      <c r="J2" s="2">
        <f t="shared" ref="J2:J29" si="4">_xlfn.RANK.AVG(I2,$I$2:$I$111,2)</f>
        <v>1</v>
      </c>
      <c r="K2" s="3">
        <f t="shared" ref="K2:K29" si="5">J2/COUNT(I:I)</f>
        <v>3.5714285714285712E-2</v>
      </c>
      <c r="L2" s="3">
        <f t="shared" ref="L2:L29" si="6">LN(LN(1/(1-K2)))</f>
        <v>-3.3140757960466627</v>
      </c>
      <c r="M2" s="3">
        <f t="shared" ref="M2:M29" si="7">(1/3)*(H2/B2)*1000</f>
        <v>2.7779365395575906</v>
      </c>
      <c r="N2" s="4">
        <f>1-EXP(-EXP(3.78428*I2-99.81322))</f>
        <v>1</v>
      </c>
      <c r="O2" s="5">
        <f>((H2*(10^-3))/(3*D2)) * (10^12)</f>
        <v>2777936539.557591</v>
      </c>
    </row>
    <row r="3" spans="1:15" x14ac:dyDescent="0.3">
      <c r="A3" s="1">
        <v>91.394069999999999</v>
      </c>
      <c r="B3" s="1">
        <v>3678.6199700000002</v>
      </c>
      <c r="C3" s="2">
        <f t="shared" si="0"/>
        <v>873.7295558086646</v>
      </c>
      <c r="D3" s="3">
        <f t="shared" si="1"/>
        <v>3.6786199700000002</v>
      </c>
      <c r="E3" s="3">
        <v>3.18036151</v>
      </c>
      <c r="F3" s="2">
        <f t="shared" si="2"/>
        <v>2</v>
      </c>
      <c r="G3" s="3">
        <f t="shared" si="3"/>
        <v>7.1428571428571425E-2</v>
      </c>
      <c r="H3" s="3">
        <f t="shared" ref="H3:H29" si="8">(0.47/3.14159)*(((4*252.23)/(3*230))^(2/3)) * (D3^(1/3)) * 100</f>
        <v>29.751926133763906</v>
      </c>
      <c r="I3" s="3">
        <v>28.34298641778102</v>
      </c>
      <c r="J3" s="2">
        <f t="shared" si="4"/>
        <v>2</v>
      </c>
      <c r="K3" s="3">
        <f t="shared" si="5"/>
        <v>7.1428571428571425E-2</v>
      </c>
      <c r="L3" s="3">
        <f t="shared" si="6"/>
        <v>-2.6022321660471017</v>
      </c>
      <c r="M3" s="3">
        <f t="shared" si="7"/>
        <v>2.6959318418680343</v>
      </c>
      <c r="N3" s="4">
        <f t="shared" ref="N3:N29" si="9">1-EXP(-EXP(3.78428*I3-99.81322))</f>
        <v>1</v>
      </c>
      <c r="O3" s="5">
        <f t="shared" ref="O3:O29" si="10">((H3*(10^-3))/(3*D3)) * (10^12)</f>
        <v>2695931841.8680348</v>
      </c>
    </row>
    <row r="4" spans="1:15" x14ac:dyDescent="0.3">
      <c r="A4" s="1">
        <v>90.569220000000001</v>
      </c>
      <c r="B4" s="1">
        <v>3568.9091100000001</v>
      </c>
      <c r="C4" s="2">
        <f t="shared" si="0"/>
        <v>861.9279050558946</v>
      </c>
      <c r="D4" s="3">
        <f t="shared" si="1"/>
        <v>3.5689091099999999</v>
      </c>
      <c r="E4" s="3">
        <v>3.1974488399999998</v>
      </c>
      <c r="F4" s="2">
        <f t="shared" si="2"/>
        <v>3</v>
      </c>
      <c r="G4" s="3">
        <f t="shared" si="3"/>
        <v>0.10714285714285714</v>
      </c>
      <c r="H4" s="3">
        <f t="shared" si="8"/>
        <v>29.45316305412355</v>
      </c>
      <c r="I4" s="3">
        <v>28.393655834501907</v>
      </c>
      <c r="J4" s="2">
        <f t="shared" si="4"/>
        <v>3</v>
      </c>
      <c r="K4" s="3">
        <f t="shared" si="5"/>
        <v>0.10714285714285714</v>
      </c>
      <c r="L4" s="3">
        <f t="shared" si="6"/>
        <v>-2.1774629628780864</v>
      </c>
      <c r="M4" s="3">
        <f t="shared" si="7"/>
        <v>2.7509025070243895</v>
      </c>
      <c r="N4" s="4">
        <f t="shared" si="9"/>
        <v>1</v>
      </c>
      <c r="O4" s="5">
        <f t="shared" si="10"/>
        <v>2750902507.0243897</v>
      </c>
    </row>
    <row r="5" spans="1:15" x14ac:dyDescent="0.3">
      <c r="A5" s="1">
        <v>79.230810000000005</v>
      </c>
      <c r="B5" s="1">
        <v>3490.8322699999999</v>
      </c>
      <c r="C5" s="2">
        <f t="shared" si="0"/>
        <v>705.24683174594645</v>
      </c>
      <c r="D5" s="3">
        <f t="shared" si="1"/>
        <v>3.4908322699999998</v>
      </c>
      <c r="E5" s="3">
        <v>3.3596452000000001</v>
      </c>
      <c r="F5" s="2">
        <f t="shared" si="2"/>
        <v>4</v>
      </c>
      <c r="G5" s="3">
        <f t="shared" si="3"/>
        <v>0.14285714285714285</v>
      </c>
      <c r="H5" s="3">
        <f t="shared" si="8"/>
        <v>29.236795704404845</v>
      </c>
      <c r="I5" s="3">
        <v>28.865865535687359</v>
      </c>
      <c r="J5" s="2">
        <f t="shared" si="4"/>
        <v>4</v>
      </c>
      <c r="K5" s="3">
        <f t="shared" si="5"/>
        <v>0.14285714285714285</v>
      </c>
      <c r="L5" s="3">
        <f t="shared" si="6"/>
        <v>-1.8698247144926043</v>
      </c>
      <c r="M5" s="3">
        <f t="shared" si="7"/>
        <v>2.7917693588110861</v>
      </c>
      <c r="N5" s="4">
        <f t="shared" si="9"/>
        <v>1</v>
      </c>
      <c r="O5" s="5">
        <f t="shared" si="10"/>
        <v>2791769358.8110867</v>
      </c>
    </row>
    <row r="6" spans="1:15" x14ac:dyDescent="0.3">
      <c r="A6" s="1">
        <v>87.675489999999996</v>
      </c>
      <c r="B6" s="1">
        <v>3674.0133999999998</v>
      </c>
      <c r="C6" s="2">
        <f t="shared" si="0"/>
        <v>820.95112551618809</v>
      </c>
      <c r="D6" s="3">
        <f t="shared" si="1"/>
        <v>3.6740133999999998</v>
      </c>
      <c r="E6" s="3">
        <v>3.3747572100000003</v>
      </c>
      <c r="F6" s="2">
        <f t="shared" si="2"/>
        <v>5</v>
      </c>
      <c r="G6" s="3">
        <f t="shared" si="3"/>
        <v>0.17857142857142858</v>
      </c>
      <c r="H6" s="3">
        <f t="shared" si="8"/>
        <v>29.739501947492187</v>
      </c>
      <c r="I6" s="3">
        <v>28.909081291826499</v>
      </c>
      <c r="J6" s="2">
        <f t="shared" si="4"/>
        <v>5</v>
      </c>
      <c r="K6" s="3">
        <f t="shared" si="5"/>
        <v>0.17857142857142858</v>
      </c>
      <c r="L6" s="3">
        <f t="shared" si="6"/>
        <v>-1.6260232202028315</v>
      </c>
      <c r="M6" s="3">
        <f t="shared" si="7"/>
        <v>2.6981848557848833</v>
      </c>
      <c r="N6" s="4">
        <f t="shared" si="9"/>
        <v>1</v>
      </c>
      <c r="O6" s="5">
        <f t="shared" si="10"/>
        <v>2698184855.7848835</v>
      </c>
    </row>
    <row r="7" spans="1:15" x14ac:dyDescent="0.3">
      <c r="A7" s="1">
        <v>79.382329999999996</v>
      </c>
      <c r="B7" s="1">
        <v>3359.6451999999999</v>
      </c>
      <c r="C7" s="2">
        <f t="shared" si="0"/>
        <v>707.27085635123365</v>
      </c>
      <c r="D7" s="3">
        <f t="shared" si="1"/>
        <v>3.3596452000000001</v>
      </c>
      <c r="E7" s="3">
        <v>3.40098294</v>
      </c>
      <c r="F7" s="2">
        <f t="shared" si="2"/>
        <v>6</v>
      </c>
      <c r="G7" s="3">
        <f t="shared" si="3"/>
        <v>0.21428571428571427</v>
      </c>
      <c r="H7" s="3">
        <f t="shared" si="8"/>
        <v>28.865865535687359</v>
      </c>
      <c r="I7" s="3">
        <v>28.983773703768524</v>
      </c>
      <c r="J7" s="2">
        <f t="shared" si="4"/>
        <v>6</v>
      </c>
      <c r="K7" s="3">
        <f t="shared" si="5"/>
        <v>0.21428571428571427</v>
      </c>
      <c r="L7" s="3">
        <f t="shared" si="6"/>
        <v>-1.4222861365496993</v>
      </c>
      <c r="M7" s="3">
        <f t="shared" si="7"/>
        <v>2.8639795590803616</v>
      </c>
      <c r="N7" s="4">
        <f t="shared" si="9"/>
        <v>1</v>
      </c>
      <c r="O7" s="5">
        <f t="shared" si="10"/>
        <v>2863979559.0803614</v>
      </c>
    </row>
    <row r="8" spans="1:15" x14ac:dyDescent="0.3">
      <c r="A8" s="1">
        <v>93.162130000000005</v>
      </c>
      <c r="B8" s="1">
        <v>4010.6127099999999</v>
      </c>
      <c r="C8" s="2">
        <f t="shared" si="0"/>
        <v>899.20583027689804</v>
      </c>
      <c r="D8" s="3">
        <f t="shared" si="1"/>
        <v>4.0106127100000002</v>
      </c>
      <c r="E8" s="3">
        <v>3.4819979600000002</v>
      </c>
      <c r="F8" s="2">
        <f t="shared" si="2"/>
        <v>7</v>
      </c>
      <c r="G8" s="3">
        <f t="shared" si="3"/>
        <v>0.25</v>
      </c>
      <c r="H8" s="3">
        <f t="shared" si="8"/>
        <v>30.621304464661325</v>
      </c>
      <c r="I8" s="3">
        <v>29.212111513811717</v>
      </c>
      <c r="J8" s="2">
        <f t="shared" si="4"/>
        <v>7</v>
      </c>
      <c r="K8" s="3">
        <f t="shared" si="5"/>
        <v>0.25</v>
      </c>
      <c r="L8" s="3">
        <f t="shared" si="6"/>
        <v>-1.2458993237072384</v>
      </c>
      <c r="M8" s="3">
        <f t="shared" si="7"/>
        <v>2.5450229743625488</v>
      </c>
      <c r="N8" s="4">
        <f t="shared" si="9"/>
        <v>1</v>
      </c>
      <c r="O8" s="5">
        <f t="shared" si="10"/>
        <v>2545022974.3625488</v>
      </c>
    </row>
    <row r="9" spans="1:15" x14ac:dyDescent="0.3">
      <c r="A9" s="1">
        <v>90.533259999999999</v>
      </c>
      <c r="B9" s="1">
        <v>3656.6934900000001</v>
      </c>
      <c r="C9" s="2">
        <f t="shared" si="0"/>
        <v>861.41462056467788</v>
      </c>
      <c r="D9" s="3">
        <f t="shared" si="1"/>
        <v>3.6566934900000003</v>
      </c>
      <c r="E9" s="3">
        <v>3.4908322699999998</v>
      </c>
      <c r="F9" s="2">
        <f t="shared" si="2"/>
        <v>8</v>
      </c>
      <c r="G9" s="3">
        <f t="shared" si="3"/>
        <v>0.2857142857142857</v>
      </c>
      <c r="H9" s="3">
        <f t="shared" si="8"/>
        <v>29.692696001055914</v>
      </c>
      <c r="I9" s="3">
        <v>29.236795704404845</v>
      </c>
      <c r="J9" s="2">
        <f t="shared" si="4"/>
        <v>8</v>
      </c>
      <c r="K9" s="3">
        <f t="shared" si="5"/>
        <v>0.2857142857142857</v>
      </c>
      <c r="L9" s="3">
        <f t="shared" si="6"/>
        <v>-1.0892396396274506</v>
      </c>
      <c r="M9" s="3">
        <f t="shared" si="7"/>
        <v>2.7066981032871049</v>
      </c>
      <c r="N9" s="4">
        <f t="shared" si="9"/>
        <v>1</v>
      </c>
      <c r="O9" s="5">
        <f t="shared" si="10"/>
        <v>2706698103.2871046</v>
      </c>
    </row>
    <row r="10" spans="1:15" x14ac:dyDescent="0.3">
      <c r="A10" s="1">
        <v>87.532330000000002</v>
      </c>
      <c r="B10" s="1">
        <v>3400.9829399999999</v>
      </c>
      <c r="C10" s="2">
        <f t="shared" si="0"/>
        <v>818.94122444402433</v>
      </c>
      <c r="D10" s="3">
        <f t="shared" si="1"/>
        <v>3.40098294</v>
      </c>
      <c r="E10" s="3">
        <v>3.5169387599999999</v>
      </c>
      <c r="F10" s="2">
        <f t="shared" si="2"/>
        <v>9</v>
      </c>
      <c r="G10" s="3">
        <f t="shared" si="3"/>
        <v>0.32142857142857145</v>
      </c>
      <c r="H10" s="3">
        <f t="shared" si="8"/>
        <v>28.983773703768524</v>
      </c>
      <c r="I10" s="3">
        <v>29.309498066371091</v>
      </c>
      <c r="J10" s="2">
        <f t="shared" si="4"/>
        <v>9</v>
      </c>
      <c r="K10" s="3">
        <f t="shared" si="5"/>
        <v>0.32142857142857145</v>
      </c>
      <c r="L10" s="3">
        <f t="shared" si="6"/>
        <v>-0.94735442354642807</v>
      </c>
      <c r="M10" s="3">
        <f t="shared" si="7"/>
        <v>2.8407251878941131</v>
      </c>
      <c r="N10" s="4">
        <f t="shared" si="9"/>
        <v>1</v>
      </c>
      <c r="O10" s="5">
        <f t="shared" si="10"/>
        <v>2840725187.8941135</v>
      </c>
    </row>
    <row r="11" spans="1:15" x14ac:dyDescent="0.3">
      <c r="A11" s="1">
        <v>81.053849999999997</v>
      </c>
      <c r="B11" s="1">
        <v>3481.9979600000001</v>
      </c>
      <c r="C11" s="2">
        <f t="shared" si="0"/>
        <v>729.72709581255322</v>
      </c>
      <c r="D11" s="3">
        <f t="shared" si="1"/>
        <v>3.4819979600000002</v>
      </c>
      <c r="E11" s="3">
        <v>3.5344468400000002</v>
      </c>
      <c r="F11" s="2">
        <f t="shared" si="2"/>
        <v>10</v>
      </c>
      <c r="G11" s="3">
        <f t="shared" si="3"/>
        <v>0.35714285714285715</v>
      </c>
      <c r="H11" s="3">
        <f t="shared" si="8"/>
        <v>29.212111513811717</v>
      </c>
      <c r="I11" s="3">
        <v>29.35805391662268</v>
      </c>
      <c r="J11" s="2">
        <f t="shared" si="4"/>
        <v>10</v>
      </c>
      <c r="K11" s="3">
        <f t="shared" si="5"/>
        <v>0.35714285714285715</v>
      </c>
      <c r="L11" s="3">
        <f t="shared" si="6"/>
        <v>-0.81682385702039551</v>
      </c>
      <c r="M11" s="3">
        <f t="shared" si="7"/>
        <v>2.7964894340730475</v>
      </c>
      <c r="N11" s="4">
        <f t="shared" si="9"/>
        <v>1</v>
      </c>
      <c r="O11" s="5">
        <f t="shared" si="10"/>
        <v>2796489434.0730476</v>
      </c>
    </row>
    <row r="12" spans="1:15" x14ac:dyDescent="0.3">
      <c r="A12" s="1">
        <v>85.366140000000001</v>
      </c>
      <c r="B12" s="1">
        <v>4220.5576899999996</v>
      </c>
      <c r="C12" s="2">
        <f t="shared" si="0"/>
        <v>788.73019373013608</v>
      </c>
      <c r="D12" s="3">
        <f t="shared" si="1"/>
        <v>4.2205576899999997</v>
      </c>
      <c r="E12" s="3">
        <v>3.5576274100000003</v>
      </c>
      <c r="F12" s="2">
        <f t="shared" si="2"/>
        <v>11</v>
      </c>
      <c r="G12" s="3">
        <f t="shared" si="3"/>
        <v>0.39285714285714285</v>
      </c>
      <c r="H12" s="3">
        <f t="shared" si="8"/>
        <v>31.146557965794713</v>
      </c>
      <c r="I12" s="3">
        <v>29.422095438268681</v>
      </c>
      <c r="J12" s="2">
        <f t="shared" si="4"/>
        <v>11</v>
      </c>
      <c r="K12" s="3">
        <f t="shared" si="5"/>
        <v>0.39285714285714285</v>
      </c>
      <c r="L12" s="3">
        <f t="shared" si="6"/>
        <v>-0.69516688655568248</v>
      </c>
      <c r="M12" s="3">
        <f t="shared" si="7"/>
        <v>2.4599085597615034</v>
      </c>
      <c r="N12" s="4">
        <f t="shared" si="9"/>
        <v>1</v>
      </c>
      <c r="O12" s="5">
        <f t="shared" si="10"/>
        <v>2459908559.7615032</v>
      </c>
    </row>
    <row r="13" spans="1:15" x14ac:dyDescent="0.3">
      <c r="A13" s="1">
        <v>78.196749999999994</v>
      </c>
      <c r="B13" s="1">
        <v>3557.6274100000001</v>
      </c>
      <c r="C13" s="2">
        <f t="shared" si="0"/>
        <v>691.48546397442647</v>
      </c>
      <c r="D13" s="3">
        <f t="shared" si="1"/>
        <v>3.5576274100000003</v>
      </c>
      <c r="E13" s="3">
        <v>3.5689091099999999</v>
      </c>
      <c r="F13" s="2">
        <f t="shared" si="2"/>
        <v>12</v>
      </c>
      <c r="G13" s="3">
        <f t="shared" si="3"/>
        <v>0.42857142857142855</v>
      </c>
      <c r="H13" s="3">
        <f t="shared" si="8"/>
        <v>29.422095438268681</v>
      </c>
      <c r="I13" s="3">
        <v>29.45316305412355</v>
      </c>
      <c r="J13" s="2">
        <f t="shared" si="4"/>
        <v>12</v>
      </c>
      <c r="K13" s="3">
        <f t="shared" si="5"/>
        <v>0.42857142857142855</v>
      </c>
      <c r="L13" s="3">
        <f t="shared" si="6"/>
        <v>-0.58050482369489387</v>
      </c>
      <c r="M13" s="3">
        <f t="shared" si="7"/>
        <v>2.7567150844752346</v>
      </c>
      <c r="N13" s="4">
        <f t="shared" si="9"/>
        <v>1</v>
      </c>
      <c r="O13" s="5">
        <f t="shared" si="10"/>
        <v>2756715084.4752345</v>
      </c>
    </row>
    <row r="14" spans="1:15" x14ac:dyDescent="0.3">
      <c r="A14" s="1">
        <v>86.142309999999995</v>
      </c>
      <c r="B14" s="1">
        <v>3534.4468400000001</v>
      </c>
      <c r="C14" s="2">
        <f t="shared" si="0"/>
        <v>799.51160230055189</v>
      </c>
      <c r="D14" s="3">
        <f t="shared" si="1"/>
        <v>3.5344468400000002</v>
      </c>
      <c r="E14" s="3">
        <v>3.5821536599999999</v>
      </c>
      <c r="F14" s="2">
        <f t="shared" si="2"/>
        <v>13</v>
      </c>
      <c r="G14" s="3">
        <f t="shared" si="3"/>
        <v>0.4642857142857143</v>
      </c>
      <c r="H14" s="3">
        <f t="shared" si="8"/>
        <v>29.35805391662268</v>
      </c>
      <c r="I14" s="3">
        <v>29.489552542065091</v>
      </c>
      <c r="J14" s="2">
        <f t="shared" si="4"/>
        <v>13</v>
      </c>
      <c r="K14" s="3">
        <f t="shared" si="5"/>
        <v>0.4642857142857143</v>
      </c>
      <c r="L14" s="3">
        <f t="shared" si="6"/>
        <v>-0.47135765100280647</v>
      </c>
      <c r="M14" s="3">
        <f t="shared" si="7"/>
        <v>2.7687551730747089</v>
      </c>
      <c r="N14" s="4">
        <f t="shared" si="9"/>
        <v>1</v>
      </c>
      <c r="O14" s="5">
        <f t="shared" si="10"/>
        <v>2768755173.0747094</v>
      </c>
    </row>
    <row r="15" spans="1:15" x14ac:dyDescent="0.3">
      <c r="A15" s="1">
        <v>86.394530000000003</v>
      </c>
      <c r="B15" s="1">
        <v>3582.1536599999999</v>
      </c>
      <c r="C15" s="2">
        <f t="shared" si="0"/>
        <v>803.02556108864587</v>
      </c>
      <c r="D15" s="3">
        <f t="shared" si="1"/>
        <v>3.5821536599999999</v>
      </c>
      <c r="E15" s="3">
        <v>3.5972410300000002</v>
      </c>
      <c r="F15" s="2">
        <f t="shared" si="2"/>
        <v>14</v>
      </c>
      <c r="G15" s="3">
        <f t="shared" si="3"/>
        <v>0.5</v>
      </c>
      <c r="H15" s="3">
        <f t="shared" si="8"/>
        <v>29.489552542065091</v>
      </c>
      <c r="I15" s="3">
        <v>29.530896069823243</v>
      </c>
      <c r="J15" s="2">
        <f t="shared" si="4"/>
        <v>14</v>
      </c>
      <c r="K15" s="3">
        <f t="shared" si="5"/>
        <v>0.5</v>
      </c>
      <c r="L15" s="3">
        <f t="shared" si="6"/>
        <v>-0.36651292058166435</v>
      </c>
      <c r="M15" s="3">
        <f t="shared" si="7"/>
        <v>2.7441175841002394</v>
      </c>
      <c r="N15" s="4">
        <f t="shared" si="9"/>
        <v>1</v>
      </c>
      <c r="O15" s="5">
        <f t="shared" si="10"/>
        <v>2744117584.1002393</v>
      </c>
    </row>
    <row r="16" spans="1:15" x14ac:dyDescent="0.3">
      <c r="A16" s="1">
        <v>87.852779999999996</v>
      </c>
      <c r="B16" s="1">
        <v>3632.4596099999999</v>
      </c>
      <c r="C16" s="2">
        <f t="shared" si="0"/>
        <v>823.44247135637318</v>
      </c>
      <c r="D16" s="3">
        <f t="shared" si="1"/>
        <v>3.6324596099999997</v>
      </c>
      <c r="E16" s="3">
        <v>3.6324596099999997</v>
      </c>
      <c r="F16" s="2">
        <f t="shared" si="2"/>
        <v>15</v>
      </c>
      <c r="G16" s="3">
        <f t="shared" si="3"/>
        <v>0.5357142857142857</v>
      </c>
      <c r="H16" s="3">
        <f t="shared" si="8"/>
        <v>29.626956765640838</v>
      </c>
      <c r="I16" s="3">
        <v>29.626956765640838</v>
      </c>
      <c r="J16" s="2">
        <f t="shared" si="4"/>
        <v>15</v>
      </c>
      <c r="K16" s="3">
        <f t="shared" si="5"/>
        <v>0.5357142857142857</v>
      </c>
      <c r="L16" s="3">
        <f t="shared" si="6"/>
        <v>-0.26493586968383609</v>
      </c>
      <c r="M16" s="3">
        <f t="shared" si="7"/>
        <v>2.7187232111339603</v>
      </c>
      <c r="N16" s="4">
        <f t="shared" si="9"/>
        <v>1</v>
      </c>
      <c r="O16" s="5">
        <f t="shared" si="10"/>
        <v>2718723211.1339602</v>
      </c>
    </row>
    <row r="17" spans="1:15" x14ac:dyDescent="0.3">
      <c r="A17" s="1">
        <v>92.049899999999994</v>
      </c>
      <c r="B17" s="1">
        <v>3948.1449699999998</v>
      </c>
      <c r="C17" s="2">
        <f t="shared" si="0"/>
        <v>883.15103361034051</v>
      </c>
      <c r="D17" s="3">
        <f t="shared" si="1"/>
        <v>3.94814497</v>
      </c>
      <c r="E17" s="3">
        <v>3.6524106000000001</v>
      </c>
      <c r="F17" s="2">
        <f t="shared" si="2"/>
        <v>16</v>
      </c>
      <c r="G17" s="3">
        <f t="shared" si="3"/>
        <v>0.5714285714285714</v>
      </c>
      <c r="H17" s="3">
        <f t="shared" si="8"/>
        <v>30.461490000768144</v>
      </c>
      <c r="I17" s="3">
        <v>29.681098981980607</v>
      </c>
      <c r="J17" s="2">
        <f t="shared" si="4"/>
        <v>16</v>
      </c>
      <c r="K17" s="3">
        <f t="shared" si="5"/>
        <v>0.5714285714285714</v>
      </c>
      <c r="L17" s="3">
        <f t="shared" si="6"/>
        <v>-0.16570298099369651</v>
      </c>
      <c r="M17" s="3">
        <f t="shared" si="7"/>
        <v>2.5717976612839646</v>
      </c>
      <c r="N17" s="4">
        <f t="shared" si="9"/>
        <v>1</v>
      </c>
      <c r="O17" s="5">
        <f t="shared" si="10"/>
        <v>2571797661.2839646</v>
      </c>
    </row>
    <row r="18" spans="1:15" x14ac:dyDescent="0.3">
      <c r="A18" s="1">
        <v>92.131839999999997</v>
      </c>
      <c r="B18" s="1">
        <v>3869.5582800000002</v>
      </c>
      <c r="C18" s="2">
        <f t="shared" si="0"/>
        <v>884.33052697757773</v>
      </c>
      <c r="D18" s="3">
        <f t="shared" si="1"/>
        <v>3.8695582800000001</v>
      </c>
      <c r="E18" s="3">
        <v>3.6566934900000003</v>
      </c>
      <c r="F18" s="2">
        <f t="shared" si="2"/>
        <v>17</v>
      </c>
      <c r="G18" s="3">
        <f t="shared" si="3"/>
        <v>0.6071428571428571</v>
      </c>
      <c r="H18" s="3">
        <f t="shared" si="8"/>
        <v>30.258024932528073</v>
      </c>
      <c r="I18" s="3">
        <v>29.692696001055914</v>
      </c>
      <c r="J18" s="2">
        <f t="shared" si="4"/>
        <v>17</v>
      </c>
      <c r="K18" s="3">
        <f t="shared" si="5"/>
        <v>0.6071428571428571</v>
      </c>
      <c r="L18" s="3">
        <f t="shared" si="6"/>
        <v>-6.794780628269334E-2</v>
      </c>
      <c r="M18" s="3">
        <f t="shared" si="7"/>
        <v>2.606501202727121</v>
      </c>
      <c r="N18" s="4">
        <f t="shared" si="9"/>
        <v>1</v>
      </c>
      <c r="O18" s="5">
        <f t="shared" si="10"/>
        <v>2606501202.7271214</v>
      </c>
    </row>
    <row r="19" spans="1:15" x14ac:dyDescent="0.3">
      <c r="A19" s="1">
        <v>94.482780000000005</v>
      </c>
      <c r="B19" s="1">
        <v>3834.0293000000001</v>
      </c>
      <c r="C19" s="2">
        <f t="shared" si="0"/>
        <v>918.39390914013359</v>
      </c>
      <c r="D19" s="3">
        <f t="shared" si="1"/>
        <v>3.8340293000000001</v>
      </c>
      <c r="E19" s="3">
        <v>3.6740133999999998</v>
      </c>
      <c r="F19" s="2">
        <f t="shared" si="2"/>
        <v>18</v>
      </c>
      <c r="G19" s="3">
        <f t="shared" si="3"/>
        <v>0.6428571428571429</v>
      </c>
      <c r="H19" s="3">
        <f t="shared" si="8"/>
        <v>30.165133722077702</v>
      </c>
      <c r="I19" s="3">
        <v>29.739501947492187</v>
      </c>
      <c r="J19" s="2">
        <f t="shared" si="4"/>
        <v>18</v>
      </c>
      <c r="K19" s="3">
        <f t="shared" si="5"/>
        <v>0.6428571428571429</v>
      </c>
      <c r="L19" s="3">
        <f t="shared" si="6"/>
        <v>2.918923607801098E-2</v>
      </c>
      <c r="M19" s="3">
        <f t="shared" si="7"/>
        <v>2.6225789599536706</v>
      </c>
      <c r="N19" s="4">
        <f t="shared" si="9"/>
        <v>1</v>
      </c>
      <c r="O19" s="5">
        <f>((H19*(10^-3))/(3*D19)) * (10^12)</f>
        <v>2622578959.953671</v>
      </c>
    </row>
    <row r="20" spans="1:15" x14ac:dyDescent="0.3">
      <c r="A20" s="1">
        <v>79.020939999999996</v>
      </c>
      <c r="B20" s="1">
        <v>3180.3615100000002</v>
      </c>
      <c r="C20" s="2">
        <f t="shared" si="0"/>
        <v>702.44655565373444</v>
      </c>
      <c r="D20" s="3">
        <f t="shared" si="1"/>
        <v>3.18036151</v>
      </c>
      <c r="E20" s="3">
        <v>3.6786199700000002</v>
      </c>
      <c r="F20" s="2">
        <f t="shared" si="2"/>
        <v>19</v>
      </c>
      <c r="G20" s="3">
        <f t="shared" si="3"/>
        <v>0.6785714285714286</v>
      </c>
      <c r="H20" s="3">
        <f t="shared" si="8"/>
        <v>28.34298641778102</v>
      </c>
      <c r="I20" s="3">
        <v>29.751926133763906</v>
      </c>
      <c r="J20" s="2">
        <f t="shared" si="4"/>
        <v>19</v>
      </c>
      <c r="K20" s="3">
        <f t="shared" si="5"/>
        <v>0.6785714285714286</v>
      </c>
      <c r="L20" s="3">
        <f t="shared" si="6"/>
        <v>0.12661497045899217</v>
      </c>
      <c r="M20" s="3">
        <f t="shared" si="7"/>
        <v>2.970625229098669</v>
      </c>
      <c r="N20" s="4">
        <f t="shared" si="9"/>
        <v>1</v>
      </c>
      <c r="O20" s="5">
        <f t="shared" si="10"/>
        <v>2970625229.09867</v>
      </c>
    </row>
    <row r="21" spans="1:15" x14ac:dyDescent="0.3">
      <c r="A21" s="1">
        <v>77.763000000000005</v>
      </c>
      <c r="B21" s="1">
        <v>3374.7572100000002</v>
      </c>
      <c r="C21" s="2">
        <f t="shared" si="0"/>
        <v>685.74004275231505</v>
      </c>
      <c r="D21" s="3">
        <f t="shared" si="1"/>
        <v>3.3747572100000003</v>
      </c>
      <c r="E21" s="3">
        <v>3.6800974000000002</v>
      </c>
      <c r="F21" s="2">
        <f t="shared" si="2"/>
        <v>20</v>
      </c>
      <c r="G21" s="3">
        <f t="shared" si="3"/>
        <v>0.7142857142857143</v>
      </c>
      <c r="H21" s="3">
        <f t="shared" si="8"/>
        <v>28.909081291826499</v>
      </c>
      <c r="I21" s="3">
        <v>29.75590865123155</v>
      </c>
      <c r="J21" s="2">
        <f t="shared" si="4"/>
        <v>20</v>
      </c>
      <c r="K21" s="3">
        <f t="shared" si="5"/>
        <v>0.7142857142857143</v>
      </c>
      <c r="L21" s="3">
        <f t="shared" si="6"/>
        <v>0.22535148682596154</v>
      </c>
      <c r="M21" s="3">
        <f t="shared" si="7"/>
        <v>2.8554233181737043</v>
      </c>
      <c r="N21" s="4">
        <f t="shared" si="9"/>
        <v>1</v>
      </c>
      <c r="O21" s="5">
        <f t="shared" si="10"/>
        <v>2855423318.1737041</v>
      </c>
    </row>
    <row r="22" spans="1:15" x14ac:dyDescent="0.3">
      <c r="A22" s="1">
        <v>78.034360000000007</v>
      </c>
      <c r="B22" s="1">
        <v>3131.91723</v>
      </c>
      <c r="C22" s="2">
        <f t="shared" si="0"/>
        <v>689.33258665408539</v>
      </c>
      <c r="D22" s="3">
        <f t="shared" si="1"/>
        <v>3.13191723</v>
      </c>
      <c r="E22" s="3">
        <v>3.81925151</v>
      </c>
      <c r="F22" s="2">
        <f t="shared" si="2"/>
        <v>21</v>
      </c>
      <c r="G22" s="3">
        <f t="shared" si="3"/>
        <v>0.75</v>
      </c>
      <c r="H22" s="3">
        <f t="shared" si="8"/>
        <v>28.198339677174339</v>
      </c>
      <c r="I22" s="3">
        <v>30.126327900755278</v>
      </c>
      <c r="J22" s="2">
        <f t="shared" si="4"/>
        <v>21</v>
      </c>
      <c r="K22" s="3">
        <f t="shared" si="5"/>
        <v>0.75</v>
      </c>
      <c r="L22" s="3">
        <f t="shared" si="6"/>
        <v>0.32663425997828094</v>
      </c>
      <c r="M22" s="3">
        <f t="shared" si="7"/>
        <v>3.001179746713202</v>
      </c>
      <c r="N22" s="4">
        <f t="shared" si="9"/>
        <v>1</v>
      </c>
      <c r="O22" s="5">
        <f t="shared" si="10"/>
        <v>3001179746.713202</v>
      </c>
    </row>
    <row r="23" spans="1:15" x14ac:dyDescent="0.3">
      <c r="A23" s="1">
        <v>83.867149999999995</v>
      </c>
      <c r="B23" s="1">
        <v>3652.4106000000002</v>
      </c>
      <c r="C23" s="2">
        <f t="shared" si="0"/>
        <v>768.04705352874271</v>
      </c>
      <c r="D23" s="3">
        <f t="shared" si="1"/>
        <v>3.6524106000000001</v>
      </c>
      <c r="E23" s="3">
        <v>3.8340293000000001</v>
      </c>
      <c r="F23" s="2">
        <f t="shared" si="2"/>
        <v>22</v>
      </c>
      <c r="G23" s="3">
        <f t="shared" si="3"/>
        <v>0.7857142857142857</v>
      </c>
      <c r="H23" s="3">
        <f t="shared" si="8"/>
        <v>29.681098981980607</v>
      </c>
      <c r="I23" s="3">
        <v>30.165133722077702</v>
      </c>
      <c r="J23" s="2">
        <f t="shared" si="4"/>
        <v>22</v>
      </c>
      <c r="K23" s="3">
        <f t="shared" si="5"/>
        <v>0.7857142857142857</v>
      </c>
      <c r="L23" s="3">
        <f t="shared" si="6"/>
        <v>0.43207136230467502</v>
      </c>
      <c r="M23" s="3">
        <f t="shared" si="7"/>
        <v>2.7088136423271254</v>
      </c>
      <c r="N23" s="4">
        <f t="shared" si="9"/>
        <v>1</v>
      </c>
      <c r="O23" s="5">
        <f t="shared" si="10"/>
        <v>2708813642.3271255</v>
      </c>
    </row>
    <row r="24" spans="1:15" x14ac:dyDescent="0.3">
      <c r="A24" s="1">
        <v>87.15849</v>
      </c>
      <c r="B24" s="1">
        <v>3859.47201</v>
      </c>
      <c r="C24" s="2">
        <f t="shared" si="0"/>
        <v>813.70043166452172</v>
      </c>
      <c r="D24" s="3">
        <f t="shared" si="1"/>
        <v>3.8594720100000002</v>
      </c>
      <c r="E24" s="3">
        <v>3.8594720100000002</v>
      </c>
      <c r="F24" s="2">
        <f t="shared" si="2"/>
        <v>23</v>
      </c>
      <c r="G24" s="3">
        <f t="shared" si="3"/>
        <v>0.8214285714285714</v>
      </c>
      <c r="H24" s="3">
        <f t="shared" si="8"/>
        <v>30.231712182384108</v>
      </c>
      <c r="I24" s="3">
        <v>30.231712182384108</v>
      </c>
      <c r="J24" s="2">
        <f t="shared" si="4"/>
        <v>23</v>
      </c>
      <c r="K24" s="3">
        <f t="shared" si="5"/>
        <v>0.8214285714285714</v>
      </c>
      <c r="L24" s="3">
        <f t="shared" si="6"/>
        <v>0.54393148565433791</v>
      </c>
      <c r="M24" s="3">
        <f t="shared" si="7"/>
        <v>2.6110404138228311</v>
      </c>
      <c r="N24" s="4">
        <f t="shared" si="9"/>
        <v>1</v>
      </c>
      <c r="O24" s="5">
        <f t="shared" si="10"/>
        <v>2611040413.8228316</v>
      </c>
    </row>
    <row r="25" spans="1:15" x14ac:dyDescent="0.3">
      <c r="A25" s="1">
        <v>75.978129999999993</v>
      </c>
      <c r="B25" s="1">
        <v>3597.2410300000001</v>
      </c>
      <c r="C25" s="2">
        <f t="shared" si="0"/>
        <v>662.2666726336397</v>
      </c>
      <c r="D25" s="3">
        <f t="shared" si="1"/>
        <v>3.5972410300000002</v>
      </c>
      <c r="E25" s="3">
        <v>3.8617163200000002</v>
      </c>
      <c r="F25" s="2">
        <f t="shared" si="2"/>
        <v>24</v>
      </c>
      <c r="G25" s="3">
        <f t="shared" si="3"/>
        <v>0.8571428571428571</v>
      </c>
      <c r="H25" s="3">
        <f t="shared" si="8"/>
        <v>29.530896069823243</v>
      </c>
      <c r="I25" s="3">
        <v>30.237571030988132</v>
      </c>
      <c r="J25" s="2">
        <f t="shared" si="4"/>
        <v>24</v>
      </c>
      <c r="K25" s="3">
        <f t="shared" si="5"/>
        <v>0.8571428571428571</v>
      </c>
      <c r="L25" s="3">
        <f t="shared" si="6"/>
        <v>0.66572981057827629</v>
      </c>
      <c r="M25" s="3">
        <f t="shared" si="7"/>
        <v>2.7364393826216347</v>
      </c>
      <c r="N25" s="4">
        <f t="shared" si="9"/>
        <v>1</v>
      </c>
      <c r="O25" s="5">
        <f t="shared" si="10"/>
        <v>2736439382.6216345</v>
      </c>
    </row>
    <row r="26" spans="1:15" x14ac:dyDescent="0.3">
      <c r="A26" s="1">
        <v>81.292090000000002</v>
      </c>
      <c r="B26" s="1">
        <v>3680.0974000000001</v>
      </c>
      <c r="C26" s="2">
        <f t="shared" si="0"/>
        <v>732.94676772339039</v>
      </c>
      <c r="D26" s="3">
        <f t="shared" si="1"/>
        <v>3.6800974000000002</v>
      </c>
      <c r="E26" s="3">
        <v>3.8695582800000001</v>
      </c>
      <c r="F26" s="2">
        <f t="shared" si="2"/>
        <v>25</v>
      </c>
      <c r="G26" s="3">
        <f t="shared" si="3"/>
        <v>0.8928571428571429</v>
      </c>
      <c r="H26" s="3">
        <f t="shared" si="8"/>
        <v>29.75590865123155</v>
      </c>
      <c r="I26" s="3">
        <v>30.258024932528073</v>
      </c>
      <c r="J26" s="2">
        <f t="shared" si="4"/>
        <v>25</v>
      </c>
      <c r="K26" s="3">
        <f t="shared" si="5"/>
        <v>0.8928571428571429</v>
      </c>
      <c r="L26" s="3">
        <f t="shared" si="6"/>
        <v>0.8036111510884012</v>
      </c>
      <c r="M26" s="3">
        <f t="shared" si="7"/>
        <v>2.6952102455432789</v>
      </c>
      <c r="N26" s="4">
        <f t="shared" si="9"/>
        <v>1</v>
      </c>
      <c r="O26" s="5">
        <f t="shared" si="10"/>
        <v>2695210245.5432796</v>
      </c>
    </row>
    <row r="27" spans="1:15" x14ac:dyDescent="0.3">
      <c r="A27" s="1">
        <v>83.645619999999994</v>
      </c>
      <c r="B27" s="1">
        <v>3819.2515100000001</v>
      </c>
      <c r="C27" s="2">
        <f t="shared" si="0"/>
        <v>765.00593927210195</v>
      </c>
      <c r="D27" s="3">
        <f t="shared" si="1"/>
        <v>3.81925151</v>
      </c>
      <c r="E27" s="3">
        <v>3.94814497</v>
      </c>
      <c r="F27" s="2">
        <f t="shared" si="2"/>
        <v>26</v>
      </c>
      <c r="G27" s="3">
        <f t="shared" si="3"/>
        <v>0.9285714285714286</v>
      </c>
      <c r="H27" s="3">
        <f t="shared" si="8"/>
        <v>30.126327900755278</v>
      </c>
      <c r="I27" s="3">
        <v>30.461490000768144</v>
      </c>
      <c r="J27" s="2">
        <f t="shared" si="4"/>
        <v>26</v>
      </c>
      <c r="K27" s="3">
        <f t="shared" si="5"/>
        <v>0.9285714285714286</v>
      </c>
      <c r="L27" s="3">
        <f t="shared" si="6"/>
        <v>0.97042178127736523</v>
      </c>
      <c r="M27" s="3">
        <f t="shared" si="7"/>
        <v>2.6293396164034659</v>
      </c>
      <c r="N27" s="4">
        <f t="shared" si="9"/>
        <v>1</v>
      </c>
      <c r="O27" s="5">
        <f t="shared" si="10"/>
        <v>2629339616.4034667</v>
      </c>
    </row>
    <row r="28" spans="1:15" x14ac:dyDescent="0.3">
      <c r="A28" s="1">
        <v>88.934030000000007</v>
      </c>
      <c r="B28" s="1">
        <v>3861.71632</v>
      </c>
      <c r="C28" s="2">
        <f t="shared" si="0"/>
        <v>838.69095416477251</v>
      </c>
      <c r="D28" s="3">
        <f t="shared" si="1"/>
        <v>3.8617163200000002</v>
      </c>
      <c r="E28" s="3">
        <v>4.0106127100000002</v>
      </c>
      <c r="F28" s="2">
        <f t="shared" si="2"/>
        <v>27</v>
      </c>
      <c r="G28" s="3">
        <f t="shared" si="3"/>
        <v>0.9642857142857143</v>
      </c>
      <c r="H28" s="3">
        <f t="shared" si="8"/>
        <v>30.237571030988132</v>
      </c>
      <c r="I28" s="3">
        <v>30.621304464661325</v>
      </c>
      <c r="J28" s="2">
        <f t="shared" si="4"/>
        <v>27</v>
      </c>
      <c r="K28" s="3">
        <f t="shared" si="5"/>
        <v>0.9642857142857143</v>
      </c>
      <c r="L28" s="3">
        <f t="shared" si="6"/>
        <v>1.2036341000246709</v>
      </c>
      <c r="M28" s="3">
        <f t="shared" si="7"/>
        <v>2.610028678559877</v>
      </c>
      <c r="N28" s="4">
        <f t="shared" si="9"/>
        <v>1</v>
      </c>
      <c r="O28" s="5">
        <f t="shared" si="10"/>
        <v>2610028678.5598764</v>
      </c>
    </row>
    <row r="29" spans="1:15" x14ac:dyDescent="0.3">
      <c r="A29" s="1">
        <v>77.685519999999997</v>
      </c>
      <c r="B29" s="1">
        <v>3197.44884</v>
      </c>
      <c r="C29" s="2">
        <f t="shared" si="0"/>
        <v>684.71543139725873</v>
      </c>
      <c r="D29" s="3">
        <f t="shared" si="1"/>
        <v>3.1974488399999998</v>
      </c>
      <c r="E29" s="3">
        <v>4.2205576899999997</v>
      </c>
      <c r="F29" s="2">
        <f t="shared" si="2"/>
        <v>28</v>
      </c>
      <c r="G29" s="3">
        <f t="shared" si="3"/>
        <v>1</v>
      </c>
      <c r="H29" s="3">
        <f t="shared" si="8"/>
        <v>28.393655834501907</v>
      </c>
      <c r="I29" s="3">
        <v>31.146557965794713</v>
      </c>
      <c r="J29" s="2">
        <f t="shared" si="4"/>
        <v>28</v>
      </c>
      <c r="K29" s="3">
        <f t="shared" si="5"/>
        <v>1</v>
      </c>
      <c r="L29" s="3" t="e">
        <f t="shared" si="6"/>
        <v>#DIV/0!</v>
      </c>
      <c r="M29" s="3">
        <f t="shared" si="7"/>
        <v>2.9600323315365289</v>
      </c>
      <c r="N29" s="4">
        <f t="shared" si="9"/>
        <v>1</v>
      </c>
      <c r="O29" s="5">
        <f t="shared" si="10"/>
        <v>2960032331.5365291</v>
      </c>
    </row>
    <row r="30" spans="1:15" x14ac:dyDescent="0.3">
      <c r="A30" s="4"/>
      <c r="B30" s="2"/>
      <c r="C30" s="2"/>
      <c r="D30" s="3"/>
      <c r="E30" s="3"/>
      <c r="F30" s="2"/>
      <c r="G30" s="3"/>
      <c r="H30" s="3"/>
      <c r="I30" s="3"/>
      <c r="J30" s="2"/>
      <c r="K30" s="3"/>
      <c r="L30" s="3"/>
      <c r="M30" s="3"/>
      <c r="N30" s="4"/>
      <c r="O30" s="5"/>
    </row>
    <row r="31" spans="1:15" x14ac:dyDescent="0.3">
      <c r="A31" s="4"/>
      <c r="B31" s="2"/>
      <c r="C31" s="2"/>
      <c r="D31" s="3"/>
      <c r="E31" s="3"/>
      <c r="F31" s="2"/>
      <c r="G31" s="3"/>
      <c r="H31" s="3"/>
      <c r="I31" s="3"/>
      <c r="J31" s="2"/>
      <c r="K31" s="3"/>
      <c r="L31" s="3"/>
      <c r="M31" s="3"/>
      <c r="N31" s="4"/>
      <c r="O31" s="5"/>
    </row>
    <row r="32" spans="1:15" x14ac:dyDescent="0.3">
      <c r="A32" s="4">
        <f>AVERAGE(A2:A29)</f>
        <v>84.750319285714269</v>
      </c>
      <c r="B32" s="4">
        <f>AVERAGE(B2:B29)</f>
        <v>3620.4606153571431</v>
      </c>
      <c r="C32" s="4">
        <f t="shared" ref="B32:D32" si="11">AVERAGE(C2:C29)</f>
        <v>781.50734500606814</v>
      </c>
      <c r="D32" s="4">
        <f t="shared" si="11"/>
        <v>3.620460615357143</v>
      </c>
      <c r="E32" s="3"/>
      <c r="F32" s="2"/>
      <c r="G32" s="3"/>
      <c r="H32" s="3"/>
      <c r="I32" s="6"/>
      <c r="J32" s="2"/>
      <c r="K32" s="3"/>
      <c r="L32" s="3"/>
      <c r="M32" s="3"/>
      <c r="N32" s="4"/>
      <c r="O32" s="5"/>
    </row>
    <row r="33" spans="1:15" x14ac:dyDescent="0.3">
      <c r="A33" s="4">
        <f>_xlfn.STDEV.S(A2:A29)</f>
        <v>5.7439746331070491</v>
      </c>
      <c r="B33" s="4">
        <f t="shared" ref="B33:D33" si="12">_xlfn.STDEV.S(B2:B29)</f>
        <v>254.22907269865328</v>
      </c>
      <c r="C33" s="4">
        <f t="shared" si="12"/>
        <v>79.311685898702507</v>
      </c>
      <c r="D33" s="4">
        <f t="shared" si="12"/>
        <v>0.25422907269865336</v>
      </c>
      <c r="E33" s="3"/>
      <c r="F33" s="2"/>
      <c r="G33" s="3"/>
      <c r="H33" s="3"/>
      <c r="I33" s="3"/>
      <c r="J33" s="2"/>
      <c r="K33" s="3"/>
      <c r="L33" s="3"/>
      <c r="M33" s="3"/>
      <c r="N33" s="4"/>
      <c r="O33" s="5"/>
    </row>
    <row r="34" spans="1:15" x14ac:dyDescent="0.3">
      <c r="A34" s="4"/>
      <c r="B34" s="2"/>
      <c r="C34" s="2"/>
      <c r="D34" s="3"/>
      <c r="E34" s="3"/>
      <c r="F34" s="2"/>
      <c r="G34" s="3"/>
      <c r="H34" s="3"/>
      <c r="I34" s="3"/>
      <c r="J34" s="2"/>
      <c r="K34" s="3"/>
      <c r="L34" s="3"/>
      <c r="M34" s="3"/>
      <c r="N34" s="4"/>
      <c r="O34" s="5"/>
    </row>
    <row r="35" spans="1:15" x14ac:dyDescent="0.3">
      <c r="A35" s="4"/>
      <c r="B35" s="2"/>
      <c r="C35" s="2"/>
      <c r="D35" s="3"/>
      <c r="E35" s="3"/>
      <c r="F35" s="2"/>
      <c r="G35" s="3"/>
      <c r="H35" s="3"/>
      <c r="I35" s="3"/>
      <c r="J35" s="2"/>
      <c r="K35" s="3"/>
      <c r="L35" s="3"/>
      <c r="M35" s="3"/>
      <c r="N35" s="4"/>
      <c r="O35" s="5"/>
    </row>
    <row r="36" spans="1:15" x14ac:dyDescent="0.3">
      <c r="A36" s="4"/>
      <c r="B36" s="2"/>
      <c r="C36" s="2"/>
      <c r="D36" s="3"/>
      <c r="E36" s="3"/>
      <c r="F36" s="2"/>
      <c r="G36" s="3"/>
      <c r="H36" s="3"/>
      <c r="I36" s="3"/>
      <c r="J36" s="2"/>
      <c r="K36" s="3"/>
      <c r="L36" s="3"/>
      <c r="M36" s="3"/>
      <c r="N36" s="4"/>
      <c r="O36" s="5"/>
    </row>
    <row r="37" spans="1:15" x14ac:dyDescent="0.3">
      <c r="A37" s="4"/>
      <c r="B37" s="2"/>
      <c r="C37" s="2"/>
      <c r="D37" s="3"/>
      <c r="E37" s="3"/>
      <c r="F37" s="2"/>
      <c r="G37" s="3"/>
      <c r="H37" s="3"/>
      <c r="I37" s="3"/>
      <c r="J37" s="2"/>
      <c r="K37" s="3"/>
      <c r="L37" s="3"/>
      <c r="M37" s="3"/>
      <c r="N37" s="4"/>
      <c r="O37" s="5"/>
    </row>
    <row r="38" spans="1:15" x14ac:dyDescent="0.3">
      <c r="A38" s="4"/>
      <c r="B38" s="2"/>
      <c r="C38" s="2"/>
      <c r="D38" s="3"/>
      <c r="E38" s="3"/>
      <c r="F38" s="2"/>
      <c r="G38" s="3"/>
      <c r="H38" s="3"/>
      <c r="I38" s="3"/>
      <c r="J38" s="2"/>
      <c r="K38" s="3"/>
      <c r="L38" s="3"/>
      <c r="M38" s="3"/>
      <c r="N38" s="4"/>
      <c r="O38" s="5"/>
    </row>
    <row r="39" spans="1:15" x14ac:dyDescent="0.3">
      <c r="A39" s="4"/>
      <c r="B39" s="2"/>
      <c r="C39" s="2"/>
      <c r="D39" s="3"/>
      <c r="E39" s="3"/>
      <c r="F39" s="2"/>
      <c r="G39" s="3"/>
      <c r="H39" s="3"/>
      <c r="I39" s="3"/>
      <c r="J39" s="2"/>
      <c r="K39" s="3"/>
      <c r="L39" s="3"/>
      <c r="M39" s="3"/>
      <c r="N39" s="4"/>
      <c r="O39" s="5"/>
    </row>
    <row r="40" spans="1:15" x14ac:dyDescent="0.3">
      <c r="A40" s="4"/>
      <c r="B40" s="2"/>
      <c r="C40" s="2"/>
      <c r="D40" s="3"/>
      <c r="E40" s="3"/>
      <c r="F40" s="2"/>
      <c r="G40" s="3"/>
      <c r="H40" s="3"/>
      <c r="I40" s="3"/>
      <c r="J40" s="2"/>
      <c r="K40" s="3"/>
      <c r="L40" s="3"/>
      <c r="M40" s="3"/>
      <c r="N40" s="4"/>
      <c r="O40" s="5"/>
    </row>
    <row r="41" spans="1:15" x14ac:dyDescent="0.3">
      <c r="A41" s="4"/>
      <c r="B41" s="2"/>
      <c r="C41" s="2"/>
      <c r="D41" s="3"/>
      <c r="E41" s="3"/>
      <c r="F41" s="2"/>
      <c r="G41" s="3"/>
      <c r="H41" s="3"/>
      <c r="I41" s="3"/>
      <c r="J41" s="2"/>
      <c r="K41" s="3"/>
      <c r="L41" s="3"/>
      <c r="M41" s="3"/>
      <c r="N41" s="4"/>
      <c r="O41" s="5"/>
    </row>
    <row r="42" spans="1:15" x14ac:dyDescent="0.3">
      <c r="A42" s="4"/>
      <c r="B42" s="2"/>
      <c r="C42" s="2"/>
      <c r="D42" s="3"/>
      <c r="E42" s="3"/>
      <c r="F42" s="2"/>
      <c r="G42" s="3"/>
      <c r="H42" s="3"/>
      <c r="I42" s="3"/>
      <c r="J42" s="2"/>
      <c r="K42" s="3"/>
      <c r="L42" s="3"/>
      <c r="M42" s="3"/>
      <c r="N42" s="4"/>
      <c r="O42" s="5"/>
    </row>
    <row r="43" spans="1:15" x14ac:dyDescent="0.3">
      <c r="A43" s="4"/>
      <c r="B43" s="2"/>
      <c r="C43" s="2"/>
      <c r="D43" s="3"/>
      <c r="E43" s="3"/>
      <c r="F43" s="2"/>
      <c r="G43" s="3"/>
      <c r="H43" s="3"/>
      <c r="I43" s="3"/>
      <c r="J43" s="2"/>
      <c r="K43" s="3"/>
      <c r="L43" s="3"/>
      <c r="M43" s="3"/>
      <c r="N43" s="4"/>
      <c r="O43" s="5"/>
    </row>
    <row r="44" spans="1:15" x14ac:dyDescent="0.3">
      <c r="A44" s="4"/>
      <c r="B44" s="2"/>
      <c r="C44" s="2"/>
      <c r="D44" s="3"/>
      <c r="E44" s="3"/>
      <c r="F44" s="2"/>
      <c r="G44" s="3"/>
      <c r="H44" s="3"/>
      <c r="I44" s="3"/>
      <c r="J44" s="2"/>
      <c r="K44" s="3"/>
      <c r="L44" s="3"/>
      <c r="M44" s="3"/>
      <c r="N44" s="4"/>
      <c r="O44" s="5"/>
    </row>
    <row r="45" spans="1:15" x14ac:dyDescent="0.3">
      <c r="A45" s="4"/>
      <c r="B45" s="2"/>
      <c r="C45" s="2"/>
      <c r="D45" s="3"/>
      <c r="E45" s="3"/>
      <c r="F45" s="2"/>
      <c r="G45" s="3"/>
      <c r="H45" s="3"/>
      <c r="I45" s="6"/>
      <c r="J45" s="2"/>
      <c r="K45" s="3"/>
      <c r="L45" s="3"/>
      <c r="M45" s="3"/>
      <c r="N45" s="4"/>
      <c r="O45" s="5"/>
    </row>
    <row r="46" spans="1:15" x14ac:dyDescent="0.3">
      <c r="A46" s="4"/>
      <c r="B46" s="2"/>
      <c r="C46" s="2"/>
      <c r="D46" s="3"/>
      <c r="E46" s="3"/>
      <c r="F46" s="2"/>
      <c r="G46" s="3"/>
      <c r="H46" s="3"/>
      <c r="I46" s="3"/>
      <c r="J46" s="2"/>
      <c r="K46" s="3"/>
      <c r="L46" s="3"/>
      <c r="M46" s="3"/>
      <c r="N46" s="4"/>
      <c r="O46" s="5"/>
    </row>
    <row r="47" spans="1:15" x14ac:dyDescent="0.3">
      <c r="A47" s="4"/>
      <c r="B47" s="2"/>
      <c r="C47" s="2"/>
      <c r="D47" s="3"/>
      <c r="E47" s="3"/>
      <c r="F47" s="2"/>
      <c r="G47" s="3"/>
      <c r="H47" s="3"/>
      <c r="I47" s="3"/>
      <c r="J47" s="2"/>
      <c r="K47" s="3"/>
      <c r="L47" s="3"/>
      <c r="M47" s="3"/>
      <c r="N47" s="4"/>
      <c r="O47" s="5"/>
    </row>
    <row r="48" spans="1:15" x14ac:dyDescent="0.3">
      <c r="A48" s="4"/>
      <c r="B48" s="2"/>
      <c r="C48" s="2"/>
      <c r="D48" s="3"/>
      <c r="E48" s="3"/>
      <c r="F48" s="2"/>
      <c r="G48" s="3"/>
      <c r="H48" s="3"/>
      <c r="I48" s="6"/>
      <c r="J48" s="2"/>
      <c r="K48" s="3"/>
      <c r="L48" s="3"/>
      <c r="M48" s="3"/>
      <c r="N48" s="4"/>
      <c r="O48" s="5"/>
    </row>
    <row r="49" spans="1:15" x14ac:dyDescent="0.3">
      <c r="A49" s="4"/>
      <c r="B49" s="2"/>
      <c r="C49" s="2"/>
      <c r="D49" s="3"/>
      <c r="E49" s="3"/>
      <c r="F49" s="2"/>
      <c r="G49" s="3"/>
      <c r="H49" s="3"/>
      <c r="I49" s="3"/>
      <c r="J49" s="2"/>
      <c r="K49" s="3"/>
      <c r="L49" s="3"/>
      <c r="M49" s="3"/>
      <c r="N49" s="4"/>
      <c r="O49" s="5"/>
    </row>
    <row r="50" spans="1:15" x14ac:dyDescent="0.3">
      <c r="A50" s="4"/>
      <c r="B50" s="2"/>
      <c r="C50" s="2"/>
      <c r="D50" s="3"/>
      <c r="E50" s="3"/>
      <c r="F50" s="2"/>
      <c r="G50" s="3"/>
      <c r="H50" s="3"/>
      <c r="I50" s="6"/>
      <c r="J50" s="2"/>
      <c r="K50" s="3"/>
      <c r="L50" s="3"/>
      <c r="M50" s="3"/>
      <c r="N50" s="4"/>
      <c r="O50" s="5"/>
    </row>
    <row r="51" spans="1:15" x14ac:dyDescent="0.3">
      <c r="A51" s="4"/>
      <c r="B51" s="2"/>
      <c r="C51" s="2"/>
      <c r="D51" s="3"/>
      <c r="E51" s="3"/>
      <c r="F51" s="2"/>
      <c r="G51" s="3"/>
      <c r="H51" s="3"/>
      <c r="I51" s="3"/>
      <c r="J51" s="2"/>
      <c r="K51" s="3"/>
      <c r="L51" s="3"/>
      <c r="M51" s="3"/>
      <c r="N51" s="4"/>
      <c r="O51" s="5"/>
    </row>
    <row r="52" spans="1:15" x14ac:dyDescent="0.3">
      <c r="A52" s="4"/>
      <c r="B52" s="2"/>
      <c r="C52" s="2"/>
      <c r="D52" s="3"/>
      <c r="E52" s="3"/>
      <c r="F52" s="2"/>
      <c r="G52" s="3"/>
      <c r="H52" s="3"/>
      <c r="I52" s="3"/>
      <c r="J52" s="2"/>
      <c r="K52" s="3"/>
      <c r="L52" s="3"/>
      <c r="M52" s="3"/>
      <c r="N52" s="4"/>
      <c r="O52" s="5"/>
    </row>
    <row r="53" spans="1:15" x14ac:dyDescent="0.3">
      <c r="A53" s="4"/>
      <c r="B53" s="2"/>
      <c r="C53" s="2"/>
      <c r="D53" s="3"/>
      <c r="E53" s="3"/>
      <c r="F53" s="2"/>
      <c r="G53" s="3"/>
      <c r="H53" s="3"/>
      <c r="I53" s="3"/>
      <c r="J53" s="2"/>
      <c r="K53" s="3"/>
      <c r="L53" s="3"/>
      <c r="M53" s="3"/>
      <c r="N53" s="4"/>
      <c r="O53" s="5"/>
    </row>
    <row r="54" spans="1:15" x14ac:dyDescent="0.3">
      <c r="A54" s="4"/>
      <c r="B54" s="2"/>
      <c r="C54" s="2"/>
      <c r="D54" s="3"/>
      <c r="E54" s="3"/>
      <c r="F54" s="2"/>
      <c r="G54" s="3"/>
      <c r="H54" s="3"/>
      <c r="I54" s="3"/>
      <c r="J54" s="2"/>
      <c r="K54" s="3"/>
      <c r="L54" s="3"/>
      <c r="M54" s="3"/>
      <c r="N54" s="4"/>
      <c r="O54" s="5"/>
    </row>
    <row r="55" spans="1:15" x14ac:dyDescent="0.3">
      <c r="A55" s="4"/>
      <c r="B55" s="2"/>
      <c r="C55" s="2"/>
      <c r="D55" s="3"/>
      <c r="E55" s="3"/>
      <c r="F55" s="2"/>
      <c r="G55" s="3"/>
      <c r="H55" s="3"/>
      <c r="I55" s="6"/>
      <c r="J55" s="2"/>
      <c r="K55" s="3"/>
      <c r="L55" s="3"/>
      <c r="M55" s="3"/>
      <c r="N55" s="4"/>
      <c r="O55" s="5"/>
    </row>
    <row r="56" spans="1:15" x14ac:dyDescent="0.3">
      <c r="A56" s="4"/>
      <c r="B56" s="2"/>
      <c r="C56" s="2"/>
      <c r="D56" s="3"/>
      <c r="E56" s="3"/>
      <c r="F56" s="2"/>
      <c r="G56" s="3"/>
      <c r="H56" s="3"/>
      <c r="I56" s="3"/>
      <c r="J56" s="2"/>
      <c r="K56" s="3"/>
      <c r="L56" s="3"/>
      <c r="M56" s="3"/>
      <c r="N56" s="4"/>
      <c r="O56" s="5"/>
    </row>
    <row r="57" spans="1:15" x14ac:dyDescent="0.3">
      <c r="A57" s="4"/>
      <c r="B57" s="2"/>
      <c r="C57" s="2"/>
      <c r="D57" s="3"/>
      <c r="E57" s="3"/>
      <c r="F57" s="2"/>
      <c r="G57" s="3"/>
      <c r="H57" s="3"/>
      <c r="I57" s="6"/>
      <c r="J57" s="2"/>
      <c r="K57" s="3"/>
      <c r="L57" s="3"/>
      <c r="M57" s="3"/>
      <c r="N57" s="4"/>
      <c r="O57" s="5"/>
    </row>
    <row r="58" spans="1:15" x14ac:dyDescent="0.3">
      <c r="A58" s="4"/>
      <c r="B58" s="2"/>
      <c r="C58" s="2"/>
      <c r="D58" s="3"/>
      <c r="E58" s="3"/>
      <c r="F58" s="2"/>
      <c r="G58" s="3"/>
      <c r="H58" s="3"/>
      <c r="I58" s="3"/>
      <c r="J58" s="2"/>
      <c r="K58" s="3"/>
      <c r="L58" s="3"/>
      <c r="M58" s="3"/>
      <c r="N58" s="4"/>
      <c r="O58" s="5"/>
    </row>
    <row r="59" spans="1:15" x14ac:dyDescent="0.3">
      <c r="A59" s="4"/>
      <c r="B59" s="2"/>
      <c r="C59" s="2"/>
      <c r="D59" s="3"/>
      <c r="E59" s="3"/>
      <c r="F59" s="2"/>
      <c r="G59" s="3"/>
      <c r="H59" s="3"/>
      <c r="I59" s="3"/>
      <c r="J59" s="2"/>
      <c r="K59" s="3"/>
      <c r="L59" s="3"/>
      <c r="M59" s="3"/>
      <c r="N59" s="4"/>
      <c r="O59" s="5"/>
    </row>
    <row r="60" spans="1:15" x14ac:dyDescent="0.3">
      <c r="A60" s="4"/>
      <c r="B60" s="2"/>
      <c r="C60" s="2"/>
      <c r="D60" s="3"/>
      <c r="E60" s="3"/>
      <c r="F60" s="2"/>
      <c r="G60" s="3"/>
      <c r="H60" s="3"/>
      <c r="I60" s="3"/>
      <c r="J60" s="2"/>
      <c r="K60" s="3"/>
      <c r="L60" s="3"/>
      <c r="M60" s="3"/>
      <c r="N60" s="4"/>
      <c r="O60" s="5"/>
    </row>
    <row r="61" spans="1:15" x14ac:dyDescent="0.3">
      <c r="A61" s="4"/>
      <c r="B61" s="2"/>
      <c r="C61" s="2"/>
      <c r="D61" s="3"/>
      <c r="E61" s="3"/>
      <c r="F61" s="2"/>
      <c r="G61" s="3"/>
      <c r="H61" s="3"/>
      <c r="I61" s="3"/>
      <c r="J61" s="2"/>
      <c r="K61" s="3"/>
      <c r="L61" s="3"/>
      <c r="M61" s="3"/>
      <c r="N61" s="4"/>
      <c r="O61" s="5"/>
    </row>
    <row r="62" spans="1:15" x14ac:dyDescent="0.3">
      <c r="A62" s="4"/>
      <c r="B62" s="2"/>
      <c r="C62" s="2"/>
      <c r="D62" s="3"/>
      <c r="E62" s="3"/>
      <c r="F62" s="2"/>
      <c r="G62" s="3"/>
      <c r="H62" s="3"/>
      <c r="I62" s="6"/>
      <c r="J62" s="2"/>
      <c r="K62" s="3"/>
      <c r="L62" s="3"/>
      <c r="M62" s="3"/>
      <c r="N62" s="4"/>
      <c r="O62" s="5"/>
    </row>
    <row r="63" spans="1:15" x14ac:dyDescent="0.3">
      <c r="A63" s="4"/>
      <c r="B63" s="2"/>
      <c r="C63" s="2"/>
      <c r="D63" s="3"/>
      <c r="E63" s="3"/>
      <c r="F63" s="2"/>
      <c r="G63" s="3"/>
      <c r="H63" s="3"/>
      <c r="I63" s="3"/>
      <c r="J63" s="2"/>
      <c r="K63" s="3"/>
      <c r="L63" s="3"/>
      <c r="M63" s="3"/>
      <c r="N63" s="4"/>
      <c r="O63" s="5"/>
    </row>
    <row r="64" spans="1:15" x14ac:dyDescent="0.3">
      <c r="A64" s="4"/>
      <c r="B64" s="2"/>
      <c r="C64" s="2"/>
      <c r="D64" s="3"/>
      <c r="E64" s="3"/>
      <c r="F64" s="2"/>
      <c r="G64" s="3"/>
      <c r="H64" s="3"/>
      <c r="I64" s="3"/>
      <c r="J64" s="2"/>
      <c r="K64" s="3"/>
      <c r="L64" s="3"/>
      <c r="M64" s="3"/>
      <c r="N64" s="4"/>
      <c r="O64" s="5"/>
    </row>
    <row r="65" spans="1:15" x14ac:dyDescent="0.3">
      <c r="A65" s="4"/>
      <c r="B65" s="2"/>
      <c r="C65" s="2"/>
      <c r="D65" s="3"/>
      <c r="E65" s="3"/>
      <c r="F65" s="2"/>
      <c r="G65" s="3"/>
      <c r="H65" s="3"/>
      <c r="I65" s="3"/>
      <c r="J65" s="2"/>
      <c r="K65" s="3"/>
      <c r="L65" s="3"/>
      <c r="M65" s="3"/>
      <c r="N65" s="4"/>
      <c r="O65" s="5"/>
    </row>
    <row r="66" spans="1:15" x14ac:dyDescent="0.3">
      <c r="A66" s="4"/>
      <c r="B66" s="2"/>
      <c r="C66" s="2"/>
      <c r="D66" s="3"/>
      <c r="E66" s="3"/>
      <c r="F66" s="2"/>
      <c r="G66" s="3"/>
      <c r="H66" s="3"/>
      <c r="I66" s="3"/>
      <c r="J66" s="2"/>
      <c r="K66" s="3"/>
      <c r="L66" s="3"/>
      <c r="M66" s="3"/>
      <c r="N66" s="4"/>
      <c r="O66" s="5"/>
    </row>
    <row r="67" spans="1:15" x14ac:dyDescent="0.3">
      <c r="A67" s="4"/>
      <c r="B67" s="2"/>
      <c r="C67" s="2"/>
      <c r="D67" s="3"/>
      <c r="E67" s="3"/>
      <c r="F67" s="2"/>
      <c r="G67" s="3"/>
      <c r="H67" s="3"/>
      <c r="I67" s="3"/>
      <c r="J67" s="2"/>
      <c r="K67" s="3"/>
      <c r="L67" s="3"/>
      <c r="M67" s="3"/>
      <c r="N67" s="4"/>
      <c r="O67" s="5"/>
    </row>
    <row r="68" spans="1:15" x14ac:dyDescent="0.3">
      <c r="A68" s="4"/>
      <c r="B68" s="2"/>
      <c r="C68" s="2"/>
      <c r="D68" s="3"/>
      <c r="E68" s="3"/>
      <c r="F68" s="2"/>
      <c r="G68" s="3"/>
      <c r="H68" s="3"/>
      <c r="I68" s="6"/>
      <c r="J68" s="2"/>
      <c r="K68" s="3"/>
      <c r="L68" s="3"/>
      <c r="M68" s="3"/>
      <c r="N68" s="4"/>
      <c r="O68" s="5"/>
    </row>
    <row r="69" spans="1:15" x14ac:dyDescent="0.3">
      <c r="A69" s="4"/>
      <c r="B69" s="2"/>
      <c r="C69" s="2"/>
      <c r="D69" s="3"/>
      <c r="E69" s="3"/>
      <c r="F69" s="2"/>
      <c r="G69" s="3"/>
      <c r="H69" s="3"/>
      <c r="I69" s="3"/>
      <c r="J69" s="2"/>
      <c r="K69" s="3"/>
      <c r="L69" s="3"/>
      <c r="M69" s="3"/>
      <c r="N69" s="4"/>
      <c r="O69" s="5"/>
    </row>
    <row r="70" spans="1:15" x14ac:dyDescent="0.3">
      <c r="A70" s="4"/>
      <c r="B70" s="2"/>
      <c r="C70" s="2"/>
      <c r="D70" s="3"/>
      <c r="E70" s="3"/>
      <c r="F70" s="2"/>
      <c r="G70" s="3"/>
      <c r="H70" s="3"/>
      <c r="I70" s="3"/>
      <c r="J70" s="2"/>
      <c r="K70" s="3"/>
      <c r="L70" s="3"/>
      <c r="M70" s="3"/>
      <c r="N70" s="4"/>
      <c r="O70" s="5"/>
    </row>
    <row r="71" spans="1:15" x14ac:dyDescent="0.3">
      <c r="A71" s="4"/>
      <c r="B71" s="2"/>
      <c r="C71" s="2"/>
      <c r="D71" s="3"/>
      <c r="E71" s="3"/>
      <c r="F71" s="2"/>
      <c r="G71" s="3"/>
      <c r="H71" s="3"/>
      <c r="I71" s="3"/>
      <c r="J71" s="2"/>
      <c r="K71" s="3"/>
      <c r="L71" s="3"/>
      <c r="M71" s="3"/>
      <c r="N71" s="4"/>
      <c r="O71" s="5"/>
    </row>
    <row r="72" spans="1:15" x14ac:dyDescent="0.3">
      <c r="A72" s="4"/>
      <c r="B72" s="2"/>
      <c r="C72" s="2"/>
      <c r="D72" s="3"/>
      <c r="E72" s="3"/>
      <c r="F72" s="2"/>
      <c r="G72" s="3"/>
      <c r="H72" s="3"/>
      <c r="I72" s="6"/>
      <c r="J72" s="2"/>
      <c r="K72" s="3"/>
      <c r="L72" s="3"/>
      <c r="M72" s="3"/>
      <c r="N72" s="4"/>
      <c r="O72" s="5"/>
    </row>
    <row r="73" spans="1:15" x14ac:dyDescent="0.3">
      <c r="A73" s="4"/>
      <c r="B73" s="2"/>
      <c r="C73" s="2"/>
      <c r="D73" s="3"/>
      <c r="E73" s="3"/>
      <c r="F73" s="2"/>
      <c r="G73" s="3"/>
      <c r="H73" s="3"/>
      <c r="I73" s="3"/>
      <c r="J73" s="2"/>
      <c r="K73" s="3"/>
      <c r="L73" s="3"/>
      <c r="M73" s="3"/>
      <c r="N73" s="4"/>
      <c r="O73" s="5"/>
    </row>
    <row r="74" spans="1:15" x14ac:dyDescent="0.3">
      <c r="A74" s="4"/>
      <c r="B74" s="2"/>
      <c r="C74" s="2"/>
      <c r="D74" s="3"/>
      <c r="E74" s="6"/>
      <c r="F74" s="2"/>
      <c r="G74" s="3"/>
      <c r="H74" s="3"/>
      <c r="I74" s="3"/>
      <c r="J74" s="2"/>
      <c r="K74" s="3"/>
      <c r="L74" s="3"/>
      <c r="M74" s="3"/>
      <c r="N74" s="4"/>
      <c r="O7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0E69-9A29-4354-BF11-BE7AD3A89492}">
  <dimension ref="A1:O74"/>
  <sheetViews>
    <sheetView topLeftCell="A16" workbookViewId="0">
      <selection activeCell="B35" sqref="B35"/>
    </sheetView>
  </sheetViews>
  <sheetFormatPr defaultRowHeight="14.4" x14ac:dyDescent="0.3"/>
  <cols>
    <col min="2" max="2" width="9.5546875" bestFit="1" customWidth="1"/>
    <col min="15" max="15" width="12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2" t="s">
        <v>7</v>
      </c>
      <c r="K1" s="1" t="s">
        <v>5</v>
      </c>
      <c r="L1" s="1" t="s">
        <v>8</v>
      </c>
      <c r="M1" s="1" t="s">
        <v>9</v>
      </c>
      <c r="N1" s="1"/>
      <c r="O1" s="1" t="s">
        <v>10</v>
      </c>
    </row>
    <row r="2" spans="1:15" x14ac:dyDescent="0.3">
      <c r="A2" s="1">
        <v>77.990129999999994</v>
      </c>
      <c r="B2" s="1">
        <v>4051.7788799999998</v>
      </c>
      <c r="C2" s="2">
        <f t="shared" ref="C2:C31" si="0">A2^(3/2)</f>
        <v>688.74659749039301</v>
      </c>
      <c r="D2" s="3">
        <f t="shared" ref="D2:D29" si="1">B2/1000</f>
        <v>4.0517788799999996</v>
      </c>
      <c r="E2" s="3">
        <v>3.13191723</v>
      </c>
      <c r="F2" s="2">
        <f t="shared" ref="F2:F29" si="2">_xlfn.RANK.AVG(E2,$E$2:$E$111,2)</f>
        <v>1</v>
      </c>
      <c r="G2" s="3">
        <f t="shared" ref="G2:G29" si="3">F2/COUNT(E:E)</f>
        <v>3.5714285714285712E-2</v>
      </c>
      <c r="H2" s="3">
        <f>(0.47/3.14159)*(((4*252.23)/(3*230))^(2/3)) * (D2^(1/3)) * 100</f>
        <v>30.725716883314075</v>
      </c>
      <c r="I2" s="3">
        <v>28.198339677174339</v>
      </c>
      <c r="J2" s="2">
        <f t="shared" ref="J2:J29" si="4">_xlfn.RANK.AVG(I2,$I$2:$I$111,2)</f>
        <v>1</v>
      </c>
      <c r="K2" s="3">
        <f t="shared" ref="K2:K29" si="5">J2/COUNT(I:I)</f>
        <v>3.5714285714285712E-2</v>
      </c>
      <c r="L2" s="3">
        <f t="shared" ref="L2:L29" si="6">LN(LN(1/(1-K2)))</f>
        <v>-3.3140757960466627</v>
      </c>
      <c r="M2" s="3">
        <f t="shared" ref="M2:M29" si="7">(1/3)*(H2/B2)*1000</f>
        <v>2.5277553220701319</v>
      </c>
      <c r="N2" s="4">
        <f>1-EXP(-EXP(3.78428*I2-99.81322))</f>
        <v>1</v>
      </c>
      <c r="O2" s="5">
        <f>((H2*(10^-3))/(3*D2)) * (10^12)</f>
        <v>2527755322.0701323</v>
      </c>
    </row>
    <row r="3" spans="1:15" x14ac:dyDescent="0.3">
      <c r="A3" s="1">
        <v>77.680779999999999</v>
      </c>
      <c r="B3" s="1">
        <v>4047.0350600000002</v>
      </c>
      <c r="C3" s="2">
        <f t="shared" si="0"/>
        <v>684.6527652471716</v>
      </c>
      <c r="D3" s="3">
        <f t="shared" si="1"/>
        <v>4.0470350599999998</v>
      </c>
      <c r="E3" s="3">
        <v>3.18036151</v>
      </c>
      <c r="F3" s="2">
        <f t="shared" si="2"/>
        <v>2</v>
      </c>
      <c r="G3" s="3">
        <f t="shared" si="3"/>
        <v>7.1428571428571425E-2</v>
      </c>
      <c r="H3" s="3">
        <f t="shared" ref="H3:H29" si="8">(0.47/3.14159)*(((4*252.23)/(3*230))^(2/3)) * (D3^(1/3)) * 100</f>
        <v>30.713720984246507</v>
      </c>
      <c r="I3" s="3">
        <v>28.34298641778102</v>
      </c>
      <c r="J3" s="2">
        <f t="shared" si="4"/>
        <v>2</v>
      </c>
      <c r="K3" s="3">
        <f t="shared" si="5"/>
        <v>7.1428571428571425E-2</v>
      </c>
      <c r="L3" s="3">
        <f t="shared" si="6"/>
        <v>-2.6022321660471017</v>
      </c>
      <c r="M3" s="3">
        <f t="shared" si="7"/>
        <v>2.529730245220271</v>
      </c>
      <c r="N3" s="4">
        <f t="shared" ref="N3:N29" si="9">1-EXP(-EXP(3.78428*I3-99.81322))</f>
        <v>1</v>
      </c>
      <c r="O3" s="5">
        <f t="shared" ref="O3:O29" si="10">((H3*(10^-3))/(3*D3)) * (10^12)</f>
        <v>2529730245.2202711</v>
      </c>
    </row>
    <row r="4" spans="1:15" x14ac:dyDescent="0.3">
      <c r="A4" s="1">
        <v>79.403130000000004</v>
      </c>
      <c r="B4" s="1">
        <v>4000.38222</v>
      </c>
      <c r="C4" s="2">
        <f t="shared" si="0"/>
        <v>707.54885645731315</v>
      </c>
      <c r="D4" s="3">
        <f t="shared" si="1"/>
        <v>4.0003822199999997</v>
      </c>
      <c r="E4" s="3">
        <v>3.1974488399999998</v>
      </c>
      <c r="F4" s="2">
        <f t="shared" si="2"/>
        <v>3</v>
      </c>
      <c r="G4" s="3">
        <f t="shared" si="3"/>
        <v>0.10714285714285714</v>
      </c>
      <c r="H4" s="3">
        <f t="shared" si="8"/>
        <v>30.595245462420618</v>
      </c>
      <c r="I4" s="3">
        <v>28.393655834501907</v>
      </c>
      <c r="J4" s="2">
        <f t="shared" si="4"/>
        <v>3</v>
      </c>
      <c r="K4" s="3">
        <f t="shared" si="5"/>
        <v>0.10714285714285714</v>
      </c>
      <c r="L4" s="3">
        <f t="shared" si="6"/>
        <v>-2.1774629628780864</v>
      </c>
      <c r="M4" s="3">
        <f t="shared" si="7"/>
        <v>2.5493601844226288</v>
      </c>
      <c r="N4" s="4">
        <f t="shared" si="9"/>
        <v>1</v>
      </c>
      <c r="O4" s="5">
        <f t="shared" si="10"/>
        <v>2549360184.4226294</v>
      </c>
    </row>
    <row r="5" spans="1:15" x14ac:dyDescent="0.3">
      <c r="A5" s="1">
        <v>79.219160000000002</v>
      </c>
      <c r="B5" s="1">
        <v>3936.9771900000001</v>
      </c>
      <c r="C5" s="2">
        <f t="shared" si="0"/>
        <v>705.09128953528068</v>
      </c>
      <c r="D5" s="3">
        <f t="shared" si="1"/>
        <v>3.9369771899999999</v>
      </c>
      <c r="E5" s="3">
        <v>3.3596452000000001</v>
      </c>
      <c r="F5" s="2">
        <f t="shared" si="2"/>
        <v>4</v>
      </c>
      <c r="G5" s="3">
        <f t="shared" si="3"/>
        <v>0.14285714285714285</v>
      </c>
      <c r="H5" s="3">
        <f t="shared" si="8"/>
        <v>30.43274160717921</v>
      </c>
      <c r="I5" s="3">
        <v>28.865865535687359</v>
      </c>
      <c r="J5" s="2">
        <f t="shared" si="4"/>
        <v>4</v>
      </c>
      <c r="K5" s="3">
        <f t="shared" si="5"/>
        <v>0.14285714285714285</v>
      </c>
      <c r="L5" s="3">
        <f t="shared" si="6"/>
        <v>-1.8698247144926043</v>
      </c>
      <c r="M5" s="3">
        <f t="shared" si="7"/>
        <v>2.5766588712171505</v>
      </c>
      <c r="N5" s="4">
        <f t="shared" si="9"/>
        <v>1</v>
      </c>
      <c r="O5" s="5">
        <f t="shared" si="10"/>
        <v>2576658871.2171512</v>
      </c>
    </row>
    <row r="6" spans="1:15" x14ac:dyDescent="0.3">
      <c r="A6" s="1">
        <v>78.945149999999998</v>
      </c>
      <c r="B6" s="1">
        <v>3375.3846800000001</v>
      </c>
      <c r="C6" s="2">
        <f t="shared" si="0"/>
        <v>701.43620971889891</v>
      </c>
      <c r="D6" s="3">
        <f t="shared" si="1"/>
        <v>3.3753846800000002</v>
      </c>
      <c r="E6" s="3">
        <v>3.3747572100000003</v>
      </c>
      <c r="F6" s="2">
        <f t="shared" si="2"/>
        <v>5</v>
      </c>
      <c r="G6" s="3">
        <f t="shared" si="3"/>
        <v>0.17857142857142858</v>
      </c>
      <c r="H6" s="3">
        <f t="shared" si="8"/>
        <v>28.910872873264054</v>
      </c>
      <c r="I6" s="3">
        <v>28.909081291826499</v>
      </c>
      <c r="J6" s="2">
        <f t="shared" si="4"/>
        <v>5</v>
      </c>
      <c r="K6" s="3">
        <f t="shared" si="5"/>
        <v>0.17857142857142858</v>
      </c>
      <c r="L6" s="3">
        <f t="shared" si="6"/>
        <v>-1.6260232202028315</v>
      </c>
      <c r="M6" s="3">
        <f t="shared" si="7"/>
        <v>2.8550694329812956</v>
      </c>
      <c r="N6" s="4">
        <f t="shared" si="9"/>
        <v>1</v>
      </c>
      <c r="O6" s="5">
        <f t="shared" si="10"/>
        <v>2855069432.9812956</v>
      </c>
    </row>
    <row r="7" spans="1:15" x14ac:dyDescent="0.3">
      <c r="A7" s="1">
        <v>90.318969999999993</v>
      </c>
      <c r="B7" s="1">
        <v>4061.65362</v>
      </c>
      <c r="C7" s="2">
        <f t="shared" si="0"/>
        <v>858.35801024691602</v>
      </c>
      <c r="D7" s="3">
        <f t="shared" si="1"/>
        <v>4.0616536200000004</v>
      </c>
      <c r="E7" s="3">
        <v>3.40098294</v>
      </c>
      <c r="F7" s="2">
        <f t="shared" si="2"/>
        <v>6</v>
      </c>
      <c r="G7" s="3">
        <f t="shared" si="3"/>
        <v>0.21428571428571427</v>
      </c>
      <c r="H7" s="3">
        <f t="shared" si="8"/>
        <v>30.750657559581828</v>
      </c>
      <c r="I7" s="3">
        <v>28.983773703768524</v>
      </c>
      <c r="J7" s="2">
        <f t="shared" si="4"/>
        <v>6</v>
      </c>
      <c r="K7" s="3">
        <f t="shared" si="5"/>
        <v>0.21428571428571427</v>
      </c>
      <c r="L7" s="3">
        <f t="shared" si="6"/>
        <v>-1.4222861365496993</v>
      </c>
      <c r="M7" s="3">
        <f t="shared" si="7"/>
        <v>2.5236566545345327</v>
      </c>
      <c r="N7" s="4">
        <f t="shared" si="9"/>
        <v>1</v>
      </c>
      <c r="O7" s="5">
        <f t="shared" si="10"/>
        <v>2523656654.5345335</v>
      </c>
    </row>
    <row r="8" spans="1:15" x14ac:dyDescent="0.3">
      <c r="A8" s="1">
        <v>88.726060000000004</v>
      </c>
      <c r="B8" s="1">
        <v>3881.7605199999998</v>
      </c>
      <c r="C8" s="2">
        <f t="shared" si="0"/>
        <v>835.75078805627777</v>
      </c>
      <c r="D8" s="3">
        <f t="shared" si="1"/>
        <v>3.8817605199999998</v>
      </c>
      <c r="E8" s="3">
        <v>3.4819979600000002</v>
      </c>
      <c r="F8" s="2">
        <f t="shared" si="2"/>
        <v>7</v>
      </c>
      <c r="G8" s="3">
        <f t="shared" si="3"/>
        <v>0.25</v>
      </c>
      <c r="H8" s="3">
        <f t="shared" si="8"/>
        <v>30.289796712821126</v>
      </c>
      <c r="I8" s="3">
        <v>29.212111513811717</v>
      </c>
      <c r="J8" s="2">
        <f t="shared" si="4"/>
        <v>7</v>
      </c>
      <c r="K8" s="3">
        <f t="shared" si="5"/>
        <v>0.25</v>
      </c>
      <c r="L8" s="3">
        <f t="shared" si="6"/>
        <v>-1.2458993237072384</v>
      </c>
      <c r="M8" s="3">
        <f t="shared" si="7"/>
        <v>2.6010360124621261</v>
      </c>
      <c r="N8" s="4">
        <f t="shared" si="9"/>
        <v>1</v>
      </c>
      <c r="O8" s="5">
        <f t="shared" si="10"/>
        <v>2601036012.4621263</v>
      </c>
    </row>
    <row r="9" spans="1:15" x14ac:dyDescent="0.3">
      <c r="A9" s="1">
        <v>92.986360000000005</v>
      </c>
      <c r="B9" s="1">
        <v>4286.4364500000001</v>
      </c>
      <c r="C9" s="2">
        <f t="shared" si="0"/>
        <v>896.6622189126191</v>
      </c>
      <c r="D9" s="3">
        <f t="shared" si="1"/>
        <v>4.2864364500000001</v>
      </c>
      <c r="E9" s="3">
        <v>3.4908322699999998</v>
      </c>
      <c r="F9" s="2">
        <f t="shared" si="2"/>
        <v>8</v>
      </c>
      <c r="G9" s="3">
        <f t="shared" si="3"/>
        <v>0.2857142857142857</v>
      </c>
      <c r="H9" s="3">
        <f t="shared" si="8"/>
        <v>31.3077777510562</v>
      </c>
      <c r="I9" s="3">
        <v>29.236795704404845</v>
      </c>
      <c r="J9" s="2">
        <f t="shared" si="4"/>
        <v>8</v>
      </c>
      <c r="K9" s="3">
        <f t="shared" si="5"/>
        <v>0.2857142857142857</v>
      </c>
      <c r="L9" s="3">
        <f t="shared" si="6"/>
        <v>-1.0892396396274506</v>
      </c>
      <c r="M9" s="3">
        <f t="shared" si="7"/>
        <v>2.4346391317708047</v>
      </c>
      <c r="N9" s="4">
        <f t="shared" si="9"/>
        <v>1</v>
      </c>
      <c r="O9" s="5">
        <f t="shared" si="10"/>
        <v>2434639131.7708054</v>
      </c>
    </row>
    <row r="10" spans="1:15" x14ac:dyDescent="0.3">
      <c r="A10" s="1">
        <v>87.908829999999995</v>
      </c>
      <c r="B10" s="1">
        <v>3977.1946600000001</v>
      </c>
      <c r="C10" s="2">
        <f t="shared" si="0"/>
        <v>824.23063044392336</v>
      </c>
      <c r="D10" s="3">
        <f t="shared" si="1"/>
        <v>3.9771946600000003</v>
      </c>
      <c r="E10" s="3">
        <v>3.5169387599999999</v>
      </c>
      <c r="F10" s="2">
        <f t="shared" si="2"/>
        <v>9</v>
      </c>
      <c r="G10" s="3">
        <f t="shared" si="3"/>
        <v>0.32142857142857145</v>
      </c>
      <c r="H10" s="3">
        <f t="shared" si="8"/>
        <v>30.536017437171981</v>
      </c>
      <c r="I10" s="3">
        <v>29.309498066371091</v>
      </c>
      <c r="J10" s="2">
        <f t="shared" si="4"/>
        <v>9</v>
      </c>
      <c r="K10" s="3">
        <f t="shared" si="5"/>
        <v>0.32142857142857145</v>
      </c>
      <c r="L10" s="3">
        <f t="shared" si="6"/>
        <v>-0.94735442354642807</v>
      </c>
      <c r="M10" s="3">
        <f t="shared" si="7"/>
        <v>2.559259314467984</v>
      </c>
      <c r="N10" s="4">
        <f t="shared" si="9"/>
        <v>1</v>
      </c>
      <c r="O10" s="5">
        <f t="shared" si="10"/>
        <v>2559259314.4679837</v>
      </c>
    </row>
    <row r="11" spans="1:15" x14ac:dyDescent="0.3">
      <c r="A11" s="1">
        <v>91.215530000000001</v>
      </c>
      <c r="B11" s="1">
        <v>4207.4747200000002</v>
      </c>
      <c r="C11" s="2">
        <f t="shared" si="0"/>
        <v>871.17053641663006</v>
      </c>
      <c r="D11" s="3">
        <f t="shared" si="1"/>
        <v>4.2074747200000004</v>
      </c>
      <c r="E11" s="3">
        <v>3.5344468400000002</v>
      </c>
      <c r="F11" s="2">
        <f t="shared" si="2"/>
        <v>10</v>
      </c>
      <c r="G11" s="3">
        <f t="shared" si="3"/>
        <v>0.35714285714285715</v>
      </c>
      <c r="H11" s="3">
        <f t="shared" si="8"/>
        <v>31.114341744774208</v>
      </c>
      <c r="I11" s="3">
        <v>29.35805391662268</v>
      </c>
      <c r="J11" s="2">
        <f t="shared" si="4"/>
        <v>10</v>
      </c>
      <c r="K11" s="3">
        <f t="shared" si="5"/>
        <v>0.35714285714285715</v>
      </c>
      <c r="L11" s="3">
        <f t="shared" si="6"/>
        <v>-0.81682385702039551</v>
      </c>
      <c r="M11" s="3">
        <f t="shared" si="7"/>
        <v>2.4650052438718082</v>
      </c>
      <c r="N11" s="4">
        <f t="shared" si="9"/>
        <v>1</v>
      </c>
      <c r="O11" s="5">
        <f t="shared" si="10"/>
        <v>2465005243.8718085</v>
      </c>
    </row>
    <row r="12" spans="1:15" x14ac:dyDescent="0.3">
      <c r="A12" s="1">
        <v>86.601870000000005</v>
      </c>
      <c r="B12" s="1">
        <v>3643.0932899999998</v>
      </c>
      <c r="C12" s="2">
        <f t="shared" si="0"/>
        <v>805.91809102420632</v>
      </c>
      <c r="D12" s="3">
        <f t="shared" si="1"/>
        <v>3.6430932899999999</v>
      </c>
      <c r="E12" s="3">
        <v>3.5576274100000003</v>
      </c>
      <c r="F12" s="2">
        <f t="shared" si="2"/>
        <v>11</v>
      </c>
      <c r="G12" s="3">
        <f t="shared" si="3"/>
        <v>0.39285714285714285</v>
      </c>
      <c r="H12" s="3">
        <f t="shared" si="8"/>
        <v>29.655838633610042</v>
      </c>
      <c r="I12" s="3">
        <v>29.422095438268681</v>
      </c>
      <c r="J12" s="2">
        <f t="shared" si="4"/>
        <v>11</v>
      </c>
      <c r="K12" s="3">
        <f t="shared" si="5"/>
        <v>0.39285714285714285</v>
      </c>
      <c r="L12" s="3">
        <f t="shared" si="6"/>
        <v>-0.69516688655568248</v>
      </c>
      <c r="M12" s="3">
        <f t="shared" si="7"/>
        <v>2.7134302521626288</v>
      </c>
      <c r="N12" s="4">
        <f t="shared" si="9"/>
        <v>1</v>
      </c>
      <c r="O12" s="5">
        <f t="shared" si="10"/>
        <v>2713430252.1626287</v>
      </c>
    </row>
    <row r="13" spans="1:15" x14ac:dyDescent="0.3">
      <c r="A13" s="1">
        <v>83.695359999999994</v>
      </c>
      <c r="B13" s="1">
        <v>3744.4703</v>
      </c>
      <c r="C13" s="2">
        <f t="shared" si="0"/>
        <v>765.68840868932023</v>
      </c>
      <c r="D13" s="3">
        <f t="shared" si="1"/>
        <v>3.7444703000000001</v>
      </c>
      <c r="E13" s="3">
        <v>3.5689091099999999</v>
      </c>
      <c r="F13" s="2">
        <f t="shared" si="2"/>
        <v>12</v>
      </c>
      <c r="G13" s="3">
        <f t="shared" si="3"/>
        <v>0.42857142857142855</v>
      </c>
      <c r="H13" s="3">
        <f t="shared" si="8"/>
        <v>29.928405246552785</v>
      </c>
      <c r="I13" s="3">
        <v>29.45316305412355</v>
      </c>
      <c r="J13" s="2">
        <f t="shared" si="4"/>
        <v>12</v>
      </c>
      <c r="K13" s="3">
        <f t="shared" si="5"/>
        <v>0.42857142857142855</v>
      </c>
      <c r="L13" s="3">
        <f t="shared" si="6"/>
        <v>-0.58050482369489387</v>
      </c>
      <c r="M13" s="3">
        <f t="shared" si="7"/>
        <v>2.6642313285765042</v>
      </c>
      <c r="N13" s="4">
        <f t="shared" si="9"/>
        <v>1</v>
      </c>
      <c r="O13" s="5">
        <f t="shared" si="10"/>
        <v>2664231328.5765042</v>
      </c>
    </row>
    <row r="14" spans="1:15" x14ac:dyDescent="0.3">
      <c r="A14" s="1">
        <v>83.993530000000007</v>
      </c>
      <c r="B14" s="1">
        <v>3534.2715199999998</v>
      </c>
      <c r="C14" s="2">
        <f t="shared" si="0"/>
        <v>769.78377067113865</v>
      </c>
      <c r="D14" s="3">
        <f t="shared" si="1"/>
        <v>3.5342715199999999</v>
      </c>
      <c r="E14" s="3">
        <v>3.5821536599999999</v>
      </c>
      <c r="F14" s="2">
        <f t="shared" si="2"/>
        <v>13</v>
      </c>
      <c r="G14" s="3">
        <f t="shared" si="3"/>
        <v>0.4642857142857143</v>
      </c>
      <c r="H14" s="3">
        <f t="shared" si="8"/>
        <v>29.357568490439412</v>
      </c>
      <c r="I14" s="3">
        <v>29.489552542065091</v>
      </c>
      <c r="J14" s="2">
        <f t="shared" si="4"/>
        <v>13</v>
      </c>
      <c r="K14" s="3">
        <f t="shared" si="5"/>
        <v>0.4642857142857143</v>
      </c>
      <c r="L14" s="3">
        <f t="shared" si="6"/>
        <v>-0.47135765100280647</v>
      </c>
      <c r="M14" s="3">
        <f t="shared" si="7"/>
        <v>2.768846736336716</v>
      </c>
      <c r="N14" s="4">
        <f t="shared" si="9"/>
        <v>1</v>
      </c>
      <c r="O14" s="5">
        <f t="shared" si="10"/>
        <v>2768846736.3367162</v>
      </c>
    </row>
    <row r="15" spans="1:15" x14ac:dyDescent="0.3">
      <c r="A15" s="1">
        <v>85.010739999999998</v>
      </c>
      <c r="B15" s="1">
        <v>3883.21929</v>
      </c>
      <c r="C15" s="2">
        <f t="shared" si="0"/>
        <v>783.80981042270548</v>
      </c>
      <c r="D15" s="3">
        <f t="shared" si="1"/>
        <v>3.88321929</v>
      </c>
      <c r="E15" s="3">
        <v>3.5972410300000002</v>
      </c>
      <c r="F15" s="2">
        <f t="shared" si="2"/>
        <v>14</v>
      </c>
      <c r="G15" s="3">
        <f t="shared" si="3"/>
        <v>0.5</v>
      </c>
      <c r="H15" s="3">
        <f t="shared" si="8"/>
        <v>30.293590550921824</v>
      </c>
      <c r="I15" s="3">
        <v>29.530896069823243</v>
      </c>
      <c r="J15" s="2">
        <f t="shared" si="4"/>
        <v>14</v>
      </c>
      <c r="K15" s="3">
        <f t="shared" si="5"/>
        <v>0.5</v>
      </c>
      <c r="L15" s="3">
        <f t="shared" si="6"/>
        <v>-0.36651292058166435</v>
      </c>
      <c r="M15" s="3">
        <f t="shared" si="7"/>
        <v>2.6003845682827609</v>
      </c>
      <c r="N15" s="4">
        <f t="shared" si="9"/>
        <v>1</v>
      </c>
      <c r="O15" s="5">
        <f t="shared" si="10"/>
        <v>2600384568.2827616</v>
      </c>
    </row>
    <row r="16" spans="1:15" x14ac:dyDescent="0.3">
      <c r="A16" s="1">
        <v>90.135599999999997</v>
      </c>
      <c r="B16" s="1">
        <v>4102.9116100000001</v>
      </c>
      <c r="C16" s="2">
        <f t="shared" si="0"/>
        <v>855.74531671550892</v>
      </c>
      <c r="D16" s="3">
        <f t="shared" si="1"/>
        <v>4.1029116100000005</v>
      </c>
      <c r="E16" s="3">
        <v>3.6324596099999997</v>
      </c>
      <c r="F16" s="2">
        <f t="shared" si="2"/>
        <v>15</v>
      </c>
      <c r="G16" s="3">
        <f t="shared" si="3"/>
        <v>0.5357142857142857</v>
      </c>
      <c r="H16" s="3">
        <f t="shared" si="8"/>
        <v>30.854427985521877</v>
      </c>
      <c r="I16" s="3">
        <v>29.626956765640838</v>
      </c>
      <c r="J16" s="2">
        <f t="shared" si="4"/>
        <v>15</v>
      </c>
      <c r="K16" s="3">
        <f t="shared" si="5"/>
        <v>0.5357142857142857</v>
      </c>
      <c r="L16" s="3">
        <f t="shared" si="6"/>
        <v>-0.26493586968383609</v>
      </c>
      <c r="M16" s="3">
        <f t="shared" si="7"/>
        <v>2.5067099431145903</v>
      </c>
      <c r="N16" s="4">
        <f t="shared" si="9"/>
        <v>1</v>
      </c>
      <c r="O16" s="5">
        <f t="shared" si="10"/>
        <v>2506709943.1145897</v>
      </c>
    </row>
    <row r="17" spans="1:15" x14ac:dyDescent="0.3">
      <c r="A17" s="1">
        <v>83.359219999999993</v>
      </c>
      <c r="B17" s="1">
        <v>3792.20055</v>
      </c>
      <c r="C17" s="2">
        <f t="shared" si="0"/>
        <v>761.08026962107192</v>
      </c>
      <c r="D17" s="3">
        <f t="shared" si="1"/>
        <v>3.79220055</v>
      </c>
      <c r="E17" s="3">
        <v>3.6524106000000001</v>
      </c>
      <c r="F17" s="2">
        <f t="shared" si="2"/>
        <v>16</v>
      </c>
      <c r="G17" s="3">
        <f t="shared" si="3"/>
        <v>0.5714285714285714</v>
      </c>
      <c r="H17" s="3">
        <f t="shared" si="8"/>
        <v>30.055033152159012</v>
      </c>
      <c r="I17" s="3">
        <v>29.681098981980607</v>
      </c>
      <c r="J17" s="2">
        <f t="shared" si="4"/>
        <v>16</v>
      </c>
      <c r="K17" s="3">
        <f t="shared" si="5"/>
        <v>0.5714285714285714</v>
      </c>
      <c r="L17" s="3">
        <f t="shared" si="6"/>
        <v>-0.16570298099369651</v>
      </c>
      <c r="M17" s="3">
        <f t="shared" si="7"/>
        <v>2.6418287355749168</v>
      </c>
      <c r="N17" s="4">
        <f t="shared" si="9"/>
        <v>1</v>
      </c>
      <c r="O17" s="5">
        <f t="shared" si="10"/>
        <v>2641828735.5749173</v>
      </c>
    </row>
    <row r="18" spans="1:15" x14ac:dyDescent="0.3">
      <c r="A18" s="1">
        <v>92.303749999999994</v>
      </c>
      <c r="B18" s="1">
        <v>4659.7080699999997</v>
      </c>
      <c r="C18" s="2">
        <f t="shared" si="0"/>
        <v>886.80680698022275</v>
      </c>
      <c r="D18" s="3">
        <f t="shared" si="1"/>
        <v>4.6597080699999998</v>
      </c>
      <c r="E18" s="3">
        <v>3.6566934900000003</v>
      </c>
      <c r="F18" s="2">
        <f t="shared" si="2"/>
        <v>17</v>
      </c>
      <c r="G18" s="3">
        <f t="shared" si="3"/>
        <v>0.6071428571428571</v>
      </c>
      <c r="H18" s="3">
        <f t="shared" si="8"/>
        <v>32.191386477713699</v>
      </c>
      <c r="I18" s="3">
        <v>29.692696001055914</v>
      </c>
      <c r="J18" s="2">
        <f t="shared" si="4"/>
        <v>17</v>
      </c>
      <c r="K18" s="3">
        <f t="shared" si="5"/>
        <v>0.6071428571428571</v>
      </c>
      <c r="L18" s="3">
        <f t="shared" si="6"/>
        <v>-6.794780628269334E-2</v>
      </c>
      <c r="M18" s="3">
        <f t="shared" si="7"/>
        <v>2.30281854529095</v>
      </c>
      <c r="N18" s="4">
        <f t="shared" si="9"/>
        <v>1</v>
      </c>
      <c r="O18" s="5">
        <f t="shared" si="10"/>
        <v>2302818545.2909498</v>
      </c>
    </row>
    <row r="19" spans="1:15" x14ac:dyDescent="0.3">
      <c r="A19" s="1">
        <v>82.780360000000002</v>
      </c>
      <c r="B19" s="1">
        <v>4215.2891399999999</v>
      </c>
      <c r="C19" s="2">
        <f t="shared" si="0"/>
        <v>753.16645020530302</v>
      </c>
      <c r="D19" s="3">
        <f t="shared" si="1"/>
        <v>4.2152891399999994</v>
      </c>
      <c r="E19" s="3">
        <v>3.6740133999999998</v>
      </c>
      <c r="F19" s="2">
        <f t="shared" si="2"/>
        <v>18</v>
      </c>
      <c r="G19" s="3">
        <f t="shared" si="3"/>
        <v>0.6428571428571429</v>
      </c>
      <c r="H19" s="3">
        <f t="shared" si="8"/>
        <v>31.133592418061752</v>
      </c>
      <c r="I19" s="3">
        <v>29.739501947492187</v>
      </c>
      <c r="J19" s="2">
        <f t="shared" si="4"/>
        <v>18</v>
      </c>
      <c r="K19" s="3">
        <f t="shared" si="5"/>
        <v>0.6428571428571429</v>
      </c>
      <c r="L19" s="3">
        <f t="shared" si="6"/>
        <v>2.918923607801098E-2</v>
      </c>
      <c r="M19" s="3">
        <f t="shared" si="7"/>
        <v>2.4619578384020215</v>
      </c>
      <c r="N19" s="4">
        <f t="shared" si="9"/>
        <v>1</v>
      </c>
      <c r="O19" s="5">
        <f t="shared" si="10"/>
        <v>2461957838.4020224</v>
      </c>
    </row>
    <row r="20" spans="1:15" x14ac:dyDescent="0.3">
      <c r="A20" s="1">
        <v>82.315100000000001</v>
      </c>
      <c r="B20" s="1">
        <v>3883.2808100000002</v>
      </c>
      <c r="C20" s="2">
        <f t="shared" si="0"/>
        <v>746.82571818069653</v>
      </c>
      <c r="D20" s="3">
        <f t="shared" si="1"/>
        <v>3.88328081</v>
      </c>
      <c r="E20" s="3">
        <v>3.6786199700000002</v>
      </c>
      <c r="F20" s="2">
        <f t="shared" si="2"/>
        <v>19</v>
      </c>
      <c r="G20" s="3">
        <f t="shared" si="3"/>
        <v>0.6785714285714286</v>
      </c>
      <c r="H20" s="3">
        <f t="shared" si="8"/>
        <v>30.293750525735668</v>
      </c>
      <c r="I20" s="3">
        <v>29.751926133763906</v>
      </c>
      <c r="J20" s="2">
        <f t="shared" si="4"/>
        <v>19</v>
      </c>
      <c r="K20" s="3">
        <f t="shared" si="5"/>
        <v>0.6785714285714286</v>
      </c>
      <c r="L20" s="3">
        <f t="shared" si="6"/>
        <v>0.12661497045899217</v>
      </c>
      <c r="M20" s="3">
        <f t="shared" si="7"/>
        <v>2.6003571042064011</v>
      </c>
      <c r="N20" s="4">
        <f t="shared" si="9"/>
        <v>1</v>
      </c>
      <c r="O20" s="5">
        <f t="shared" si="10"/>
        <v>2600357104.2064013</v>
      </c>
    </row>
    <row r="21" spans="1:15" x14ac:dyDescent="0.3">
      <c r="A21" s="1">
        <v>83.779229999999998</v>
      </c>
      <c r="B21" s="1">
        <v>3731.4606899999999</v>
      </c>
      <c r="C21" s="2">
        <f t="shared" si="0"/>
        <v>766.83962613235838</v>
      </c>
      <c r="D21" s="3">
        <f t="shared" si="1"/>
        <v>3.73146069</v>
      </c>
      <c r="E21" s="3">
        <v>3.6800974000000002</v>
      </c>
      <c r="F21" s="2">
        <f t="shared" si="2"/>
        <v>20</v>
      </c>
      <c r="G21" s="3">
        <f t="shared" si="3"/>
        <v>0.7142857142857143</v>
      </c>
      <c r="H21" s="3">
        <f t="shared" si="8"/>
        <v>29.893704417297801</v>
      </c>
      <c r="I21" s="3">
        <v>29.75590865123155</v>
      </c>
      <c r="J21" s="2">
        <f t="shared" si="4"/>
        <v>20</v>
      </c>
      <c r="K21" s="3">
        <f t="shared" si="5"/>
        <v>0.7142857142857143</v>
      </c>
      <c r="L21" s="3">
        <f t="shared" si="6"/>
        <v>0.22535148682596154</v>
      </c>
      <c r="M21" s="3">
        <f t="shared" si="7"/>
        <v>2.6704202367194885</v>
      </c>
      <c r="N21" s="4">
        <f t="shared" si="9"/>
        <v>1</v>
      </c>
      <c r="O21" s="5">
        <f t="shared" si="10"/>
        <v>2670420236.7194886</v>
      </c>
    </row>
    <row r="22" spans="1:15" x14ac:dyDescent="0.3">
      <c r="A22" s="1">
        <v>49.407620000000001</v>
      </c>
      <c r="B22" s="1">
        <v>2495.3666199999998</v>
      </c>
      <c r="C22" s="2">
        <f t="shared" si="0"/>
        <v>347.28889880787517</v>
      </c>
      <c r="D22" s="3">
        <f t="shared" si="1"/>
        <v>2.49536662</v>
      </c>
      <c r="E22" s="3">
        <v>3.81925151</v>
      </c>
      <c r="F22" s="2">
        <f t="shared" si="2"/>
        <v>21</v>
      </c>
      <c r="G22" s="3">
        <f t="shared" si="3"/>
        <v>0.75</v>
      </c>
      <c r="H22" s="3">
        <f t="shared" si="8"/>
        <v>26.141563947848024</v>
      </c>
      <c r="I22" s="3">
        <v>30.126327900755278</v>
      </c>
      <c r="J22" s="2">
        <f t="shared" si="4"/>
        <v>21</v>
      </c>
      <c r="K22" s="3">
        <f t="shared" si="5"/>
        <v>0.75</v>
      </c>
      <c r="L22" s="3">
        <f t="shared" si="6"/>
        <v>0.32663425997828094</v>
      </c>
      <c r="M22" s="3">
        <f t="shared" si="7"/>
        <v>3.4920137904556388</v>
      </c>
      <c r="N22" s="4">
        <f t="shared" si="9"/>
        <v>1</v>
      </c>
      <c r="O22" s="5">
        <f t="shared" si="10"/>
        <v>3492013790.4556389</v>
      </c>
    </row>
    <row r="23" spans="1:15" x14ac:dyDescent="0.3">
      <c r="A23" s="1">
        <v>62.45561</v>
      </c>
      <c r="B23" s="1">
        <v>3533.6452300000001</v>
      </c>
      <c r="C23" s="2">
        <f t="shared" si="0"/>
        <v>493.57957723506934</v>
      </c>
      <c r="D23" s="3">
        <f t="shared" si="1"/>
        <v>3.5336452300000003</v>
      </c>
      <c r="E23" s="3">
        <v>3.8340293000000001</v>
      </c>
      <c r="F23" s="2">
        <f t="shared" si="2"/>
        <v>22</v>
      </c>
      <c r="G23" s="3">
        <f t="shared" si="3"/>
        <v>0.7857142857142857</v>
      </c>
      <c r="H23" s="3">
        <f t="shared" si="8"/>
        <v>29.355834286976467</v>
      </c>
      <c r="I23" s="3">
        <v>30.165133722077702</v>
      </c>
      <c r="J23" s="2">
        <f t="shared" si="4"/>
        <v>22</v>
      </c>
      <c r="K23" s="3">
        <f t="shared" si="5"/>
        <v>0.7857142857142857</v>
      </c>
      <c r="L23" s="3">
        <f t="shared" si="6"/>
        <v>0.43207136230467502</v>
      </c>
      <c r="M23" s="3">
        <f t="shared" si="7"/>
        <v>2.7691738866662687</v>
      </c>
      <c r="N23" s="4">
        <f t="shared" si="9"/>
        <v>1</v>
      </c>
      <c r="O23" s="5">
        <f t="shared" si="10"/>
        <v>2769173886.6662693</v>
      </c>
    </row>
    <row r="24" spans="1:15" x14ac:dyDescent="0.3">
      <c r="A24" s="1">
        <v>61.095440000000004</v>
      </c>
      <c r="B24" s="1">
        <v>3455.3764799999999</v>
      </c>
      <c r="C24" s="2">
        <f t="shared" si="0"/>
        <v>477.54378280799745</v>
      </c>
      <c r="D24" s="3">
        <f t="shared" si="1"/>
        <v>3.45537648</v>
      </c>
      <c r="E24" s="3">
        <v>3.8594720100000002</v>
      </c>
      <c r="F24" s="2">
        <f t="shared" si="2"/>
        <v>23</v>
      </c>
      <c r="G24" s="3">
        <f t="shared" si="3"/>
        <v>0.8214285714285714</v>
      </c>
      <c r="H24" s="3">
        <f t="shared" si="8"/>
        <v>29.137474289864656</v>
      </c>
      <c r="I24" s="3">
        <v>30.231712182384108</v>
      </c>
      <c r="J24" s="2">
        <f t="shared" si="4"/>
        <v>23</v>
      </c>
      <c r="K24" s="3">
        <f t="shared" si="5"/>
        <v>0.8214285714285714</v>
      </c>
      <c r="L24" s="3">
        <f t="shared" si="6"/>
        <v>0.54393148565433791</v>
      </c>
      <c r="M24" s="3">
        <f t="shared" si="7"/>
        <v>2.8108345027442234</v>
      </c>
      <c r="N24" s="4">
        <f t="shared" si="9"/>
        <v>1</v>
      </c>
      <c r="O24" s="5">
        <f t="shared" si="10"/>
        <v>2810834502.7442236</v>
      </c>
    </row>
    <row r="25" spans="1:15" x14ac:dyDescent="0.3">
      <c r="A25" s="1">
        <v>57.685980000000001</v>
      </c>
      <c r="B25" s="1">
        <v>3147.0834100000002</v>
      </c>
      <c r="C25" s="2">
        <f t="shared" si="0"/>
        <v>438.13244240121031</v>
      </c>
      <c r="D25" s="3">
        <f t="shared" si="1"/>
        <v>3.14708341</v>
      </c>
      <c r="E25" s="3">
        <v>3.8617163200000002</v>
      </c>
      <c r="F25" s="2">
        <f t="shared" si="2"/>
        <v>24</v>
      </c>
      <c r="G25" s="3">
        <f t="shared" si="3"/>
        <v>0.8571428571428571</v>
      </c>
      <c r="H25" s="3">
        <f t="shared" si="8"/>
        <v>28.243782835961937</v>
      </c>
      <c r="I25" s="3">
        <v>30.237571030988132</v>
      </c>
      <c r="J25" s="2">
        <f t="shared" si="4"/>
        <v>24</v>
      </c>
      <c r="K25" s="3">
        <f t="shared" si="5"/>
        <v>0.8571428571428571</v>
      </c>
      <c r="L25" s="3">
        <f t="shared" si="6"/>
        <v>0.66572981057827629</v>
      </c>
      <c r="M25" s="3">
        <f t="shared" si="7"/>
        <v>2.9915299507914788</v>
      </c>
      <c r="N25" s="4">
        <f t="shared" si="9"/>
        <v>1</v>
      </c>
      <c r="O25" s="5">
        <f t="shared" si="10"/>
        <v>2991529950.7914786</v>
      </c>
    </row>
    <row r="26" spans="1:15" x14ac:dyDescent="0.3">
      <c r="A26" s="1">
        <v>60.025289999999998</v>
      </c>
      <c r="B26" s="1">
        <v>3379.3810100000001</v>
      </c>
      <c r="C26" s="2">
        <f t="shared" si="0"/>
        <v>465.05187575292399</v>
      </c>
      <c r="D26" s="3">
        <f t="shared" si="1"/>
        <v>3.3793810099999999</v>
      </c>
      <c r="E26" s="3">
        <v>3.8695582800000001</v>
      </c>
      <c r="F26" s="2">
        <f t="shared" si="2"/>
        <v>25</v>
      </c>
      <c r="G26" s="3">
        <f t="shared" si="3"/>
        <v>0.8928571428571429</v>
      </c>
      <c r="H26" s="3">
        <f t="shared" si="8"/>
        <v>28.922278172924432</v>
      </c>
      <c r="I26" s="3">
        <v>30.258024932528073</v>
      </c>
      <c r="J26" s="2">
        <f t="shared" si="4"/>
        <v>25</v>
      </c>
      <c r="K26" s="3">
        <f t="shared" si="5"/>
        <v>0.8928571428571429</v>
      </c>
      <c r="L26" s="3">
        <f t="shared" si="6"/>
        <v>0.8036111510884012</v>
      </c>
      <c r="M26" s="3">
        <f t="shared" si="7"/>
        <v>2.852818123332832</v>
      </c>
      <c r="N26" s="4">
        <f t="shared" si="9"/>
        <v>1</v>
      </c>
      <c r="O26" s="5">
        <f t="shared" si="10"/>
        <v>2852818123.3328323</v>
      </c>
    </row>
    <row r="27" spans="1:15" x14ac:dyDescent="0.3">
      <c r="A27" s="1">
        <v>58.515990000000002</v>
      </c>
      <c r="B27" s="1">
        <v>3210.2881600000001</v>
      </c>
      <c r="C27" s="2">
        <f t="shared" si="0"/>
        <v>447.62242482749434</v>
      </c>
      <c r="D27" s="3">
        <f t="shared" si="1"/>
        <v>3.2102881600000002</v>
      </c>
      <c r="E27" s="3">
        <v>3.94814497</v>
      </c>
      <c r="F27" s="2">
        <f t="shared" si="2"/>
        <v>26</v>
      </c>
      <c r="G27" s="3">
        <f t="shared" si="3"/>
        <v>0.9285714285714286</v>
      </c>
      <c r="H27" s="3">
        <f t="shared" si="8"/>
        <v>28.431609880708546</v>
      </c>
      <c r="I27" s="3">
        <v>30.461490000768144</v>
      </c>
      <c r="J27" s="2">
        <f t="shared" si="4"/>
        <v>26</v>
      </c>
      <c r="K27" s="3">
        <f t="shared" si="5"/>
        <v>0.9285714285714286</v>
      </c>
      <c r="L27" s="3">
        <f t="shared" si="6"/>
        <v>0.97042178127736523</v>
      </c>
      <c r="M27" s="3">
        <f t="shared" si="7"/>
        <v>2.9521347683534782</v>
      </c>
      <c r="N27" s="4">
        <f t="shared" si="9"/>
        <v>1</v>
      </c>
      <c r="O27" s="5">
        <f t="shared" si="10"/>
        <v>2952134768.3534789</v>
      </c>
    </row>
    <row r="28" spans="1:15" x14ac:dyDescent="0.3">
      <c r="A28" s="1">
        <v>62.41574</v>
      </c>
      <c r="B28" s="1">
        <v>3558.8466800000001</v>
      </c>
      <c r="C28" s="2">
        <f t="shared" si="0"/>
        <v>493.10702056394439</v>
      </c>
      <c r="D28" s="3">
        <f t="shared" si="1"/>
        <v>3.5588466800000003</v>
      </c>
      <c r="E28" s="3">
        <v>4.0106127100000002</v>
      </c>
      <c r="F28" s="2">
        <f t="shared" si="2"/>
        <v>27</v>
      </c>
      <c r="G28" s="3">
        <f t="shared" si="3"/>
        <v>0.9642857142857143</v>
      </c>
      <c r="H28" s="3">
        <f t="shared" si="8"/>
        <v>29.42545623436164</v>
      </c>
      <c r="I28" s="3">
        <v>30.621304464661325</v>
      </c>
      <c r="J28" s="2">
        <f t="shared" si="4"/>
        <v>27</v>
      </c>
      <c r="K28" s="3">
        <f t="shared" si="5"/>
        <v>0.9642857142857143</v>
      </c>
      <c r="L28" s="3">
        <f t="shared" si="6"/>
        <v>1.2036341000246709</v>
      </c>
      <c r="M28" s="3">
        <f t="shared" si="7"/>
        <v>2.7560854100783794</v>
      </c>
      <c r="N28" s="4">
        <f t="shared" si="9"/>
        <v>1</v>
      </c>
      <c r="O28" s="5">
        <f t="shared" si="10"/>
        <v>2756085410.0783792</v>
      </c>
    </row>
    <row r="29" spans="1:15" x14ac:dyDescent="0.3">
      <c r="A29" s="1">
        <v>63.184449999999998</v>
      </c>
      <c r="B29" s="1">
        <v>3569.0784399999998</v>
      </c>
      <c r="C29" s="2">
        <f t="shared" si="0"/>
        <v>502.24464411877398</v>
      </c>
      <c r="D29" s="3">
        <f t="shared" si="1"/>
        <v>3.5690784399999997</v>
      </c>
      <c r="E29" s="3">
        <v>4.2205576899999997</v>
      </c>
      <c r="F29" s="2">
        <f t="shared" si="2"/>
        <v>28</v>
      </c>
      <c r="G29" s="3">
        <f t="shared" si="3"/>
        <v>1</v>
      </c>
      <c r="H29" s="3">
        <f t="shared" si="8"/>
        <v>29.453628857078339</v>
      </c>
      <c r="I29" s="3">
        <v>31.146557965794713</v>
      </c>
      <c r="J29" s="2">
        <f t="shared" si="4"/>
        <v>28</v>
      </c>
      <c r="K29" s="3">
        <f t="shared" si="5"/>
        <v>1</v>
      </c>
      <c r="L29" s="3" t="e">
        <f t="shared" si="6"/>
        <v>#DIV/0!</v>
      </c>
      <c r="M29" s="3">
        <f t="shared" si="7"/>
        <v>2.7508154978215553</v>
      </c>
      <c r="N29" s="4">
        <f t="shared" si="9"/>
        <v>1</v>
      </c>
      <c r="O29" s="5">
        <f t="shared" si="10"/>
        <v>2750815497.8215561</v>
      </c>
    </row>
    <row r="30" spans="1:15" x14ac:dyDescent="0.3">
      <c r="A30" s="4">
        <v>65.602850000000004</v>
      </c>
      <c r="B30" s="2">
        <v>3826.55521</v>
      </c>
      <c r="C30" s="2">
        <f t="shared" si="0"/>
        <v>531.35412986682536</v>
      </c>
      <c r="D30" s="3"/>
      <c r="E30" s="3"/>
      <c r="F30" s="2"/>
      <c r="G30" s="3"/>
      <c r="H30" s="3"/>
      <c r="I30" s="3"/>
      <c r="J30" s="2"/>
      <c r="K30" s="3"/>
      <c r="L30" s="3"/>
      <c r="M30" s="3"/>
      <c r="N30" s="4"/>
      <c r="O30" s="5"/>
    </row>
    <row r="31" spans="1:15" x14ac:dyDescent="0.3">
      <c r="A31" s="4">
        <v>63.302660000000003</v>
      </c>
      <c r="B31" s="2">
        <v>3594.2631500000002</v>
      </c>
      <c r="C31" s="2">
        <f t="shared" si="0"/>
        <v>503.65475608384298</v>
      </c>
      <c r="D31" s="3"/>
      <c r="E31" s="3"/>
      <c r="F31" s="2"/>
      <c r="G31" s="3"/>
      <c r="H31" s="3"/>
      <c r="I31" s="3"/>
      <c r="J31" s="2"/>
      <c r="K31" s="3"/>
      <c r="L31" s="3"/>
      <c r="M31" s="3"/>
      <c r="N31" s="4"/>
      <c r="O31" s="5"/>
    </row>
    <row r="32" spans="1:15" x14ac:dyDescent="0.3">
      <c r="A32" s="1"/>
      <c r="B32" s="2"/>
      <c r="C32" s="1"/>
      <c r="E32" s="3"/>
      <c r="F32" s="2"/>
      <c r="G32" s="3"/>
      <c r="H32" s="3"/>
      <c r="I32" s="6"/>
      <c r="J32" s="2"/>
      <c r="K32" s="3"/>
      <c r="L32" s="3"/>
      <c r="M32" s="3"/>
      <c r="N32" s="4"/>
      <c r="O32" s="5"/>
    </row>
    <row r="33" spans="1:15" x14ac:dyDescent="0.3">
      <c r="A33" s="1"/>
      <c r="B33" s="2"/>
      <c r="C33" s="1"/>
      <c r="E33" s="3"/>
      <c r="F33" s="2"/>
      <c r="G33" s="3"/>
      <c r="H33" s="3"/>
      <c r="I33" s="3"/>
      <c r="J33" s="2"/>
      <c r="K33" s="3"/>
      <c r="L33" s="3"/>
      <c r="M33" s="3"/>
      <c r="N33" s="4"/>
      <c r="O33" s="5"/>
    </row>
    <row r="34" spans="1:15" x14ac:dyDescent="0.3">
      <c r="A34" s="4">
        <f>AVERAGE(A2:A31)</f>
        <v>76.735349666666679</v>
      </c>
      <c r="B34" s="4">
        <f>AVERAGE(B2:B31)</f>
        <v>3759.528922</v>
      </c>
      <c r="C34" s="4">
        <f>AVERAGE(C2:C31)</f>
        <v>678.96305745446375</v>
      </c>
      <c r="D34" s="4"/>
      <c r="E34" s="3"/>
      <c r="F34" s="2"/>
      <c r="G34" s="3"/>
      <c r="H34" s="3"/>
      <c r="I34" s="3"/>
      <c r="J34" s="2"/>
      <c r="K34" s="3"/>
      <c r="L34" s="3"/>
      <c r="M34" s="3"/>
      <c r="N34" s="4"/>
      <c r="O34" s="5"/>
    </row>
    <row r="35" spans="1:15" x14ac:dyDescent="0.3">
      <c r="A35" s="4">
        <f>_xlfn.STDEV.S(A2:A31)</f>
        <v>12.676383273723065</v>
      </c>
      <c r="B35" s="4">
        <f>_xlfn.STDEV.S(B2:B31)</f>
        <v>412.77953967317433</v>
      </c>
      <c r="C35" s="4">
        <f>_xlfn.STDEV.S(C2:C31)</f>
        <v>162.60370297243671</v>
      </c>
      <c r="D35" s="4"/>
      <c r="E35" s="3"/>
      <c r="F35" s="2"/>
      <c r="G35" s="3"/>
      <c r="H35" s="3"/>
      <c r="I35" s="3"/>
      <c r="J35" s="2"/>
      <c r="K35" s="3"/>
      <c r="L35" s="3"/>
      <c r="M35" s="3"/>
      <c r="N35" s="4"/>
      <c r="O35" s="5"/>
    </row>
    <row r="36" spans="1:15" x14ac:dyDescent="0.3">
      <c r="A36" s="4"/>
      <c r="B36" s="2"/>
      <c r="C36" s="2"/>
      <c r="D36" s="3"/>
      <c r="E36" s="3"/>
      <c r="F36" s="2"/>
      <c r="G36" s="3"/>
      <c r="H36" s="3"/>
      <c r="I36" s="3"/>
      <c r="J36" s="2"/>
      <c r="K36" s="3"/>
      <c r="L36" s="3"/>
      <c r="M36" s="3"/>
      <c r="N36" s="4"/>
      <c r="O36" s="5"/>
    </row>
    <row r="37" spans="1:15" x14ac:dyDescent="0.3">
      <c r="A37" s="4"/>
      <c r="B37" s="2"/>
      <c r="C37" s="2"/>
      <c r="D37" s="3"/>
      <c r="E37" s="3"/>
      <c r="F37" s="2"/>
      <c r="G37" s="3"/>
      <c r="H37" s="3"/>
      <c r="I37" s="3"/>
      <c r="J37" s="2"/>
      <c r="K37" s="3"/>
      <c r="L37" s="3"/>
      <c r="M37" s="3"/>
      <c r="N37" s="4"/>
      <c r="O37" s="5"/>
    </row>
    <row r="38" spans="1:15" x14ac:dyDescent="0.3">
      <c r="A38" s="4"/>
      <c r="B38" s="2"/>
      <c r="C38" s="2"/>
      <c r="D38" s="3"/>
      <c r="E38" s="3"/>
      <c r="F38" s="2"/>
      <c r="G38" s="3"/>
      <c r="H38" s="3"/>
      <c r="I38" s="3"/>
      <c r="J38" s="2"/>
      <c r="K38" s="3"/>
      <c r="L38" s="3"/>
      <c r="M38" s="3"/>
      <c r="N38" s="4"/>
      <c r="O38" s="5"/>
    </row>
    <row r="39" spans="1:15" x14ac:dyDescent="0.3">
      <c r="A39" s="4"/>
      <c r="B39" s="2"/>
      <c r="C39" s="2"/>
      <c r="D39" s="3"/>
      <c r="E39" s="3"/>
      <c r="F39" s="2"/>
      <c r="G39" s="3"/>
      <c r="H39" s="3"/>
      <c r="I39" s="3"/>
      <c r="J39" s="2"/>
      <c r="K39" s="3"/>
      <c r="L39" s="3"/>
      <c r="M39" s="3"/>
      <c r="N39" s="4"/>
      <c r="O39" s="5"/>
    </row>
    <row r="40" spans="1:15" x14ac:dyDescent="0.3">
      <c r="A40" s="4"/>
      <c r="B40" s="2"/>
      <c r="C40" s="2"/>
      <c r="D40" s="3"/>
      <c r="E40" s="3"/>
      <c r="F40" s="2"/>
      <c r="G40" s="3"/>
      <c r="H40" s="3"/>
      <c r="I40" s="3"/>
      <c r="J40" s="2"/>
      <c r="K40" s="3"/>
      <c r="L40" s="3"/>
      <c r="M40" s="3"/>
      <c r="N40" s="4"/>
      <c r="O40" s="5"/>
    </row>
    <row r="41" spans="1:15" x14ac:dyDescent="0.3">
      <c r="A41" s="4"/>
      <c r="B41" s="2"/>
      <c r="C41" s="2"/>
      <c r="D41" s="3"/>
      <c r="E41" s="3"/>
      <c r="F41" s="2"/>
      <c r="G41" s="3"/>
      <c r="H41" s="3"/>
      <c r="I41" s="3"/>
      <c r="J41" s="2"/>
      <c r="K41" s="3"/>
      <c r="L41" s="3"/>
      <c r="M41" s="3"/>
      <c r="N41" s="4"/>
      <c r="O41" s="5"/>
    </row>
    <row r="42" spans="1:15" x14ac:dyDescent="0.3">
      <c r="A42" s="4"/>
      <c r="B42" s="2"/>
      <c r="C42" s="2"/>
      <c r="D42" s="3"/>
      <c r="E42" s="3"/>
      <c r="F42" s="2"/>
      <c r="G42" s="3"/>
      <c r="H42" s="3"/>
      <c r="I42" s="3"/>
      <c r="J42" s="2"/>
      <c r="K42" s="3"/>
      <c r="L42" s="3"/>
      <c r="M42" s="3"/>
      <c r="N42" s="4"/>
      <c r="O42" s="5"/>
    </row>
    <row r="43" spans="1:15" x14ac:dyDescent="0.3">
      <c r="A43" s="4"/>
      <c r="B43" s="2"/>
      <c r="C43" s="2"/>
      <c r="D43" s="3"/>
      <c r="E43" s="3"/>
      <c r="F43" s="2"/>
      <c r="G43" s="3"/>
      <c r="H43" s="3"/>
      <c r="I43" s="3"/>
      <c r="J43" s="2"/>
      <c r="K43" s="3"/>
      <c r="L43" s="3"/>
      <c r="M43" s="3"/>
      <c r="N43" s="4"/>
      <c r="O43" s="5"/>
    </row>
    <row r="44" spans="1:15" x14ac:dyDescent="0.3">
      <c r="A44" s="4"/>
      <c r="B44" s="2"/>
      <c r="C44" s="2"/>
      <c r="D44" s="3"/>
      <c r="E44" s="3"/>
      <c r="F44" s="2"/>
      <c r="G44" s="3"/>
      <c r="H44" s="3"/>
      <c r="I44" s="3"/>
      <c r="J44" s="2"/>
      <c r="K44" s="3"/>
      <c r="L44" s="3"/>
      <c r="M44" s="3"/>
      <c r="N44" s="4"/>
      <c r="O44" s="5"/>
    </row>
    <row r="45" spans="1:15" x14ac:dyDescent="0.3">
      <c r="A45" s="4"/>
      <c r="B45" s="2"/>
      <c r="C45" s="2"/>
      <c r="D45" s="3"/>
      <c r="E45" s="3"/>
      <c r="F45" s="2"/>
      <c r="G45" s="3"/>
      <c r="H45" s="3"/>
      <c r="I45" s="6"/>
      <c r="J45" s="2"/>
      <c r="K45" s="3"/>
      <c r="L45" s="3"/>
      <c r="M45" s="3"/>
      <c r="N45" s="4"/>
      <c r="O45" s="5"/>
    </row>
    <row r="46" spans="1:15" x14ac:dyDescent="0.3">
      <c r="A46" s="4"/>
      <c r="B46" s="2"/>
      <c r="C46" s="2"/>
      <c r="D46" s="3"/>
      <c r="E46" s="3"/>
      <c r="F46" s="2"/>
      <c r="G46" s="3"/>
      <c r="H46" s="3"/>
      <c r="I46" s="3"/>
      <c r="J46" s="2"/>
      <c r="K46" s="3"/>
      <c r="L46" s="3"/>
      <c r="M46" s="3"/>
      <c r="N46" s="4"/>
      <c r="O46" s="5"/>
    </row>
    <row r="47" spans="1:15" x14ac:dyDescent="0.3">
      <c r="A47" s="4"/>
      <c r="B47" s="2"/>
      <c r="C47" s="2"/>
      <c r="D47" s="3"/>
      <c r="E47" s="3"/>
      <c r="F47" s="2"/>
      <c r="G47" s="3"/>
      <c r="H47" s="3"/>
      <c r="I47" s="3"/>
      <c r="J47" s="2"/>
      <c r="K47" s="3"/>
      <c r="L47" s="3"/>
      <c r="M47" s="3"/>
      <c r="N47" s="4"/>
      <c r="O47" s="5"/>
    </row>
    <row r="48" spans="1:15" x14ac:dyDescent="0.3">
      <c r="A48" s="4"/>
      <c r="B48" s="2"/>
      <c r="C48" s="2"/>
      <c r="D48" s="3"/>
      <c r="E48" s="3"/>
      <c r="F48" s="2"/>
      <c r="G48" s="3"/>
      <c r="H48" s="3"/>
      <c r="I48" s="6"/>
      <c r="J48" s="2"/>
      <c r="K48" s="3"/>
      <c r="L48" s="3"/>
      <c r="M48" s="3"/>
      <c r="N48" s="4"/>
      <c r="O48" s="5"/>
    </row>
    <row r="49" spans="1:15" x14ac:dyDescent="0.3">
      <c r="A49" s="4"/>
      <c r="B49" s="2"/>
      <c r="C49" s="2"/>
      <c r="D49" s="3"/>
      <c r="E49" s="3"/>
      <c r="F49" s="2"/>
      <c r="G49" s="3"/>
      <c r="H49" s="3"/>
      <c r="I49" s="3"/>
      <c r="J49" s="2"/>
      <c r="K49" s="3"/>
      <c r="L49" s="3"/>
      <c r="M49" s="3"/>
      <c r="N49" s="4"/>
      <c r="O49" s="5"/>
    </row>
    <row r="50" spans="1:15" x14ac:dyDescent="0.3">
      <c r="A50" s="4"/>
      <c r="B50" s="2"/>
      <c r="C50" s="2"/>
      <c r="D50" s="3"/>
      <c r="E50" s="3"/>
      <c r="F50" s="2"/>
      <c r="G50" s="3"/>
      <c r="H50" s="3"/>
      <c r="I50" s="6"/>
      <c r="J50" s="2"/>
      <c r="K50" s="3"/>
      <c r="L50" s="3"/>
      <c r="M50" s="3"/>
      <c r="N50" s="4"/>
      <c r="O50" s="5"/>
    </row>
    <row r="51" spans="1:15" x14ac:dyDescent="0.3">
      <c r="A51" s="4"/>
      <c r="B51" s="2"/>
      <c r="C51" s="2"/>
      <c r="D51" s="3"/>
      <c r="E51" s="3"/>
      <c r="F51" s="2"/>
      <c r="G51" s="3"/>
      <c r="H51" s="3"/>
      <c r="I51" s="3"/>
      <c r="J51" s="2"/>
      <c r="K51" s="3"/>
      <c r="L51" s="3"/>
      <c r="M51" s="3"/>
      <c r="N51" s="4"/>
      <c r="O51" s="5"/>
    </row>
    <row r="52" spans="1:15" x14ac:dyDescent="0.3">
      <c r="A52" s="4"/>
      <c r="B52" s="2"/>
      <c r="C52" s="2"/>
      <c r="D52" s="3"/>
      <c r="E52" s="3"/>
      <c r="F52" s="2"/>
      <c r="G52" s="3"/>
      <c r="H52" s="3"/>
      <c r="I52" s="3"/>
      <c r="J52" s="2"/>
      <c r="K52" s="3"/>
      <c r="L52" s="3"/>
      <c r="M52" s="3"/>
      <c r="N52" s="4"/>
      <c r="O52" s="5"/>
    </row>
    <row r="53" spans="1:15" x14ac:dyDescent="0.3">
      <c r="A53" s="4"/>
      <c r="B53" s="2"/>
      <c r="C53" s="2"/>
      <c r="D53" s="3"/>
      <c r="E53" s="3"/>
      <c r="F53" s="2"/>
      <c r="G53" s="3"/>
      <c r="H53" s="3"/>
      <c r="I53" s="3"/>
      <c r="J53" s="2"/>
      <c r="K53" s="3"/>
      <c r="L53" s="3"/>
      <c r="M53" s="3"/>
      <c r="N53" s="4"/>
      <c r="O53" s="5"/>
    </row>
    <row r="54" spans="1:15" x14ac:dyDescent="0.3">
      <c r="A54" s="4"/>
      <c r="B54" s="2"/>
      <c r="C54" s="2"/>
      <c r="D54" s="3"/>
      <c r="E54" s="3"/>
      <c r="F54" s="2"/>
      <c r="G54" s="3"/>
      <c r="H54" s="3"/>
      <c r="I54" s="3"/>
      <c r="J54" s="2"/>
      <c r="K54" s="3"/>
      <c r="L54" s="3"/>
      <c r="M54" s="3"/>
      <c r="N54" s="4"/>
      <c r="O54" s="5"/>
    </row>
    <row r="55" spans="1:15" x14ac:dyDescent="0.3">
      <c r="A55" s="4"/>
      <c r="B55" s="2"/>
      <c r="C55" s="2"/>
      <c r="D55" s="3"/>
      <c r="E55" s="3"/>
      <c r="F55" s="2"/>
      <c r="G55" s="3"/>
      <c r="H55" s="3"/>
      <c r="I55" s="6"/>
      <c r="J55" s="2"/>
      <c r="K55" s="3"/>
      <c r="L55" s="3"/>
      <c r="M55" s="3"/>
      <c r="N55" s="4"/>
      <c r="O55" s="5"/>
    </row>
    <row r="56" spans="1:15" x14ac:dyDescent="0.3">
      <c r="A56" s="4"/>
      <c r="B56" s="2"/>
      <c r="C56" s="2"/>
      <c r="D56" s="3"/>
      <c r="E56" s="3"/>
      <c r="F56" s="2"/>
      <c r="G56" s="3"/>
      <c r="H56" s="3"/>
      <c r="I56" s="3"/>
      <c r="J56" s="2"/>
      <c r="K56" s="3"/>
      <c r="L56" s="3"/>
      <c r="M56" s="3"/>
      <c r="N56" s="4"/>
      <c r="O56" s="5"/>
    </row>
    <row r="57" spans="1:15" x14ac:dyDescent="0.3">
      <c r="A57" s="4"/>
      <c r="B57" s="2"/>
      <c r="C57" s="2"/>
      <c r="D57" s="3"/>
      <c r="E57" s="3"/>
      <c r="F57" s="2"/>
      <c r="G57" s="3"/>
      <c r="H57" s="3"/>
      <c r="I57" s="6"/>
      <c r="J57" s="2"/>
      <c r="K57" s="3"/>
      <c r="L57" s="3"/>
      <c r="M57" s="3"/>
      <c r="N57" s="4"/>
      <c r="O57" s="5"/>
    </row>
    <row r="58" spans="1:15" x14ac:dyDescent="0.3">
      <c r="A58" s="4"/>
      <c r="B58" s="2"/>
      <c r="C58" s="2"/>
      <c r="D58" s="3"/>
      <c r="E58" s="3"/>
      <c r="F58" s="2"/>
      <c r="G58" s="3"/>
      <c r="H58" s="3"/>
      <c r="I58" s="3"/>
      <c r="J58" s="2"/>
      <c r="K58" s="3"/>
      <c r="L58" s="3"/>
      <c r="M58" s="3"/>
      <c r="N58" s="4"/>
      <c r="O58" s="5"/>
    </row>
    <row r="59" spans="1:15" x14ac:dyDescent="0.3">
      <c r="A59" s="4"/>
      <c r="B59" s="2"/>
      <c r="C59" s="2"/>
      <c r="D59" s="3"/>
      <c r="E59" s="3"/>
      <c r="F59" s="2"/>
      <c r="G59" s="3"/>
      <c r="H59" s="3"/>
      <c r="I59" s="3"/>
      <c r="J59" s="2"/>
      <c r="K59" s="3"/>
      <c r="L59" s="3"/>
      <c r="M59" s="3"/>
      <c r="N59" s="4"/>
      <c r="O59" s="5"/>
    </row>
    <row r="60" spans="1:15" x14ac:dyDescent="0.3">
      <c r="A60" s="4"/>
      <c r="B60" s="2"/>
      <c r="C60" s="2"/>
      <c r="D60" s="3"/>
      <c r="E60" s="3"/>
      <c r="F60" s="2"/>
      <c r="G60" s="3"/>
      <c r="H60" s="3"/>
      <c r="I60" s="3"/>
      <c r="J60" s="2"/>
      <c r="K60" s="3"/>
      <c r="L60" s="3"/>
      <c r="M60" s="3"/>
      <c r="N60" s="4"/>
      <c r="O60" s="5"/>
    </row>
    <row r="61" spans="1:15" x14ac:dyDescent="0.3">
      <c r="A61" s="4"/>
      <c r="B61" s="2"/>
      <c r="C61" s="2"/>
      <c r="D61" s="3"/>
      <c r="E61" s="3"/>
      <c r="F61" s="2"/>
      <c r="G61" s="3"/>
      <c r="H61" s="3"/>
      <c r="I61" s="3"/>
      <c r="J61" s="2"/>
      <c r="K61" s="3"/>
      <c r="L61" s="3"/>
      <c r="M61" s="3"/>
      <c r="N61" s="4"/>
      <c r="O61" s="5"/>
    </row>
    <row r="62" spans="1:15" x14ac:dyDescent="0.3">
      <c r="A62" s="4"/>
      <c r="B62" s="2"/>
      <c r="C62" s="2"/>
      <c r="D62" s="3"/>
      <c r="E62" s="3"/>
      <c r="F62" s="2"/>
      <c r="G62" s="3"/>
      <c r="H62" s="3"/>
      <c r="I62" s="6"/>
      <c r="J62" s="2"/>
      <c r="K62" s="3"/>
      <c r="L62" s="3"/>
      <c r="M62" s="3"/>
      <c r="N62" s="4"/>
      <c r="O62" s="5"/>
    </row>
    <row r="63" spans="1:15" x14ac:dyDescent="0.3">
      <c r="A63" s="4"/>
      <c r="B63" s="2"/>
      <c r="C63" s="2"/>
      <c r="D63" s="3"/>
      <c r="E63" s="3"/>
      <c r="F63" s="2"/>
      <c r="G63" s="3"/>
      <c r="H63" s="3"/>
      <c r="I63" s="3"/>
      <c r="J63" s="2"/>
      <c r="K63" s="3"/>
      <c r="L63" s="3"/>
      <c r="M63" s="3"/>
      <c r="N63" s="4"/>
      <c r="O63" s="5"/>
    </row>
    <row r="64" spans="1:15" x14ac:dyDescent="0.3">
      <c r="A64" s="4"/>
      <c r="B64" s="2"/>
      <c r="C64" s="2"/>
      <c r="D64" s="3"/>
      <c r="E64" s="3"/>
      <c r="F64" s="2"/>
      <c r="G64" s="3"/>
      <c r="H64" s="3"/>
      <c r="I64" s="3"/>
      <c r="J64" s="2"/>
      <c r="K64" s="3"/>
      <c r="L64" s="3"/>
      <c r="M64" s="3"/>
      <c r="N64" s="4"/>
      <c r="O64" s="5"/>
    </row>
    <row r="65" spans="1:15" x14ac:dyDescent="0.3">
      <c r="A65" s="4"/>
      <c r="B65" s="2"/>
      <c r="C65" s="2"/>
      <c r="D65" s="3"/>
      <c r="E65" s="3"/>
      <c r="F65" s="2"/>
      <c r="G65" s="3"/>
      <c r="H65" s="3"/>
      <c r="I65" s="3"/>
      <c r="J65" s="2"/>
      <c r="K65" s="3"/>
      <c r="L65" s="3"/>
      <c r="M65" s="3"/>
      <c r="N65" s="4"/>
      <c r="O65" s="5"/>
    </row>
    <row r="66" spans="1:15" x14ac:dyDescent="0.3">
      <c r="A66" s="4"/>
      <c r="B66" s="2"/>
      <c r="C66" s="2"/>
      <c r="D66" s="3"/>
      <c r="E66" s="3"/>
      <c r="F66" s="2"/>
      <c r="G66" s="3"/>
      <c r="H66" s="3"/>
      <c r="I66" s="3"/>
      <c r="J66" s="2"/>
      <c r="K66" s="3"/>
      <c r="L66" s="3"/>
      <c r="M66" s="3"/>
      <c r="N66" s="4"/>
      <c r="O66" s="5"/>
    </row>
    <row r="67" spans="1:15" x14ac:dyDescent="0.3">
      <c r="A67" s="4"/>
      <c r="B67" s="2"/>
      <c r="C67" s="2"/>
      <c r="D67" s="3"/>
      <c r="E67" s="3"/>
      <c r="F67" s="2"/>
      <c r="G67" s="3"/>
      <c r="H67" s="3"/>
      <c r="I67" s="3"/>
      <c r="J67" s="2"/>
      <c r="K67" s="3"/>
      <c r="L67" s="3"/>
      <c r="M67" s="3"/>
      <c r="N67" s="4"/>
      <c r="O67" s="5"/>
    </row>
    <row r="68" spans="1:15" x14ac:dyDescent="0.3">
      <c r="A68" s="4"/>
      <c r="B68" s="2"/>
      <c r="C68" s="2"/>
      <c r="D68" s="3"/>
      <c r="E68" s="3"/>
      <c r="F68" s="2"/>
      <c r="G68" s="3"/>
      <c r="H68" s="3"/>
      <c r="I68" s="6"/>
      <c r="J68" s="2"/>
      <c r="K68" s="3"/>
      <c r="L68" s="3"/>
      <c r="M68" s="3"/>
      <c r="N68" s="4"/>
      <c r="O68" s="5"/>
    </row>
    <row r="69" spans="1:15" x14ac:dyDescent="0.3">
      <c r="A69" s="4"/>
      <c r="B69" s="2"/>
      <c r="C69" s="2"/>
      <c r="D69" s="3"/>
      <c r="E69" s="3"/>
      <c r="F69" s="2"/>
      <c r="G69" s="3"/>
      <c r="H69" s="3"/>
      <c r="I69" s="3"/>
      <c r="J69" s="2"/>
      <c r="K69" s="3"/>
      <c r="L69" s="3"/>
      <c r="M69" s="3"/>
      <c r="N69" s="4"/>
      <c r="O69" s="5"/>
    </row>
    <row r="70" spans="1:15" x14ac:dyDescent="0.3">
      <c r="A70" s="4"/>
      <c r="B70" s="2"/>
      <c r="C70" s="2"/>
      <c r="D70" s="3"/>
      <c r="E70" s="3"/>
      <c r="F70" s="2"/>
      <c r="G70" s="3"/>
      <c r="H70" s="3"/>
      <c r="I70" s="3"/>
      <c r="J70" s="2"/>
      <c r="K70" s="3"/>
      <c r="L70" s="3"/>
      <c r="M70" s="3"/>
      <c r="N70" s="4"/>
      <c r="O70" s="5"/>
    </row>
    <row r="71" spans="1:15" x14ac:dyDescent="0.3">
      <c r="A71" s="4"/>
      <c r="B71" s="2"/>
      <c r="C71" s="2"/>
      <c r="D71" s="3"/>
      <c r="E71" s="3"/>
      <c r="F71" s="2"/>
      <c r="G71" s="3"/>
      <c r="H71" s="3"/>
      <c r="I71" s="3"/>
      <c r="J71" s="2"/>
      <c r="K71" s="3"/>
      <c r="L71" s="3"/>
      <c r="M71" s="3"/>
      <c r="N71" s="4"/>
      <c r="O71" s="5"/>
    </row>
    <row r="72" spans="1:15" x14ac:dyDescent="0.3">
      <c r="A72" s="4"/>
      <c r="B72" s="2"/>
      <c r="C72" s="2"/>
      <c r="D72" s="3"/>
      <c r="E72" s="3"/>
      <c r="F72" s="2"/>
      <c r="G72" s="3"/>
      <c r="H72" s="3"/>
      <c r="I72" s="6"/>
      <c r="J72" s="2"/>
      <c r="K72" s="3"/>
      <c r="L72" s="3"/>
      <c r="M72" s="3"/>
      <c r="N72" s="4"/>
      <c r="O72" s="5"/>
    </row>
    <row r="73" spans="1:15" x14ac:dyDescent="0.3">
      <c r="A73" s="4"/>
      <c r="B73" s="2"/>
      <c r="C73" s="2"/>
      <c r="D73" s="3"/>
      <c r="E73" s="3"/>
      <c r="F73" s="2"/>
      <c r="G73" s="3"/>
      <c r="H73" s="3"/>
      <c r="I73" s="3"/>
      <c r="J73" s="2"/>
      <c r="K73" s="3"/>
      <c r="L73" s="3"/>
      <c r="M73" s="3"/>
      <c r="N73" s="4"/>
      <c r="O73" s="5"/>
    </row>
    <row r="74" spans="1:15" x14ac:dyDescent="0.3">
      <c r="A74" s="4"/>
      <c r="B74" s="2"/>
      <c r="C74" s="2"/>
      <c r="D74" s="3"/>
      <c r="E74" s="6"/>
      <c r="F74" s="2"/>
      <c r="G74" s="3"/>
      <c r="H74" s="3"/>
      <c r="I74" s="3"/>
      <c r="J74" s="2"/>
      <c r="K74" s="3"/>
      <c r="L74" s="3"/>
      <c r="M74" s="3"/>
      <c r="N74" s="4"/>
      <c r="O7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7FFF-0728-4DCD-8111-21C9BC63146D}">
  <dimension ref="A1:O74"/>
  <sheetViews>
    <sheetView tabSelected="1" topLeftCell="A17" workbookViewId="0">
      <selection activeCell="B35" sqref="B35"/>
    </sheetView>
  </sheetViews>
  <sheetFormatPr defaultRowHeight="14.4" x14ac:dyDescent="0.3"/>
  <cols>
    <col min="2" max="2" width="9.5546875" bestFit="1" customWidth="1"/>
    <col min="15" max="15" width="12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2" t="s">
        <v>7</v>
      </c>
      <c r="K1" s="1" t="s">
        <v>5</v>
      </c>
      <c r="L1" s="1" t="s">
        <v>8</v>
      </c>
      <c r="M1" s="1" t="s">
        <v>9</v>
      </c>
      <c r="N1" s="1"/>
      <c r="O1" s="1" t="s">
        <v>10</v>
      </c>
    </row>
    <row r="2" spans="1:15" x14ac:dyDescent="0.3">
      <c r="A2" s="1">
        <v>92.885530000000003</v>
      </c>
      <c r="B2" s="1">
        <v>3485.77765</v>
      </c>
      <c r="C2" s="2">
        <f t="shared" ref="C2:C31" si="0">A2^(3/2)</f>
        <v>895.2041673569928</v>
      </c>
      <c r="D2" s="3">
        <f t="shared" ref="D2:D29" si="1">B2/1000</f>
        <v>3.4857776500000002</v>
      </c>
      <c r="E2" s="3">
        <v>3.13191723</v>
      </c>
      <c r="F2" s="2">
        <f t="shared" ref="F2:F29" si="2">_xlfn.RANK.AVG(E2,$E$2:$E$111,2)</f>
        <v>1</v>
      </c>
      <c r="G2" s="3">
        <f t="shared" ref="G2:G29" si="3">F2/COUNT(E:E)</f>
        <v>3.5714285714285712E-2</v>
      </c>
      <c r="H2" s="3">
        <f>(0.47/3.14159)*(((4*252.23)/(3*230))^(2/3)) * (D2^(1/3)) * 100</f>
        <v>29.222677554755695</v>
      </c>
      <c r="I2" s="3">
        <v>28.198339677174339</v>
      </c>
      <c r="J2" s="2">
        <f t="shared" ref="J2:J29" si="4">_xlfn.RANK.AVG(I2,$I$2:$I$111,2)</f>
        <v>1</v>
      </c>
      <c r="K2" s="3">
        <f t="shared" ref="K2:K29" si="5">J2/COUNT(I:I)</f>
        <v>3.5714285714285712E-2</v>
      </c>
      <c r="L2" s="3">
        <f t="shared" ref="L2:L29" si="6">LN(LN(1/(1-K2)))</f>
        <v>-3.3140757960466627</v>
      </c>
      <c r="M2" s="3">
        <f t="shared" ref="M2:M29" si="7">(1/3)*(H2/B2)*1000</f>
        <v>2.7944675467902833</v>
      </c>
      <c r="N2" s="4">
        <f>1-EXP(-EXP(3.78428*I2-99.81322))</f>
        <v>1</v>
      </c>
      <c r="O2" s="5">
        <f>((H2*(10^-3))/(3*D2)) * (10^12)</f>
        <v>2794467546.7902827</v>
      </c>
    </row>
    <row r="3" spans="1:15" x14ac:dyDescent="0.3">
      <c r="A3" s="1">
        <v>92.553399999999996</v>
      </c>
      <c r="B3" s="1">
        <v>3761.0300299999999</v>
      </c>
      <c r="C3" s="2">
        <f t="shared" si="0"/>
        <v>890.407001157433</v>
      </c>
      <c r="D3" s="3">
        <f t="shared" si="1"/>
        <v>3.7610300299999997</v>
      </c>
      <c r="E3" s="3">
        <v>3.18036151</v>
      </c>
      <c r="F3" s="2">
        <f t="shared" si="2"/>
        <v>2</v>
      </c>
      <c r="G3" s="3">
        <f t="shared" si="3"/>
        <v>7.1428571428571425E-2</v>
      </c>
      <c r="H3" s="3">
        <f t="shared" ref="H3:H29" si="8">(0.47/3.14159)*(((4*252.23)/(3*230))^(2/3)) * (D3^(1/3)) * 100</f>
        <v>29.972459319392964</v>
      </c>
      <c r="I3" s="3">
        <v>28.34298641778102</v>
      </c>
      <c r="J3" s="2">
        <f t="shared" si="4"/>
        <v>2</v>
      </c>
      <c r="K3" s="3">
        <f t="shared" si="5"/>
        <v>7.1428571428571425E-2</v>
      </c>
      <c r="L3" s="3">
        <f t="shared" si="6"/>
        <v>-2.6022321660471017</v>
      </c>
      <c r="M3" s="3">
        <f t="shared" si="7"/>
        <v>2.6564052117209469</v>
      </c>
      <c r="N3" s="4">
        <f t="shared" ref="N3:N29" si="9">1-EXP(-EXP(3.78428*I3-99.81322))</f>
        <v>1</v>
      </c>
      <c r="O3" s="5">
        <f t="shared" ref="O3:O29" si="10">((H3*(10^-3))/(3*D3)) * (10^12)</f>
        <v>2656405211.7209468</v>
      </c>
    </row>
    <row r="4" spans="1:15" x14ac:dyDescent="0.3">
      <c r="A4" s="1">
        <v>84.151870000000002</v>
      </c>
      <c r="B4" s="1">
        <v>3663.43307</v>
      </c>
      <c r="C4" s="2">
        <f t="shared" si="0"/>
        <v>771.96152748438431</v>
      </c>
      <c r="D4" s="3">
        <f t="shared" si="1"/>
        <v>3.66343307</v>
      </c>
      <c r="E4" s="3">
        <v>3.1974488399999998</v>
      </c>
      <c r="F4" s="2">
        <f t="shared" si="2"/>
        <v>3</v>
      </c>
      <c r="G4" s="3">
        <f t="shared" si="3"/>
        <v>0.10714285714285714</v>
      </c>
      <c r="H4" s="3">
        <f t="shared" si="8"/>
        <v>29.710926813757627</v>
      </c>
      <c r="I4" s="3">
        <v>28.393655834501907</v>
      </c>
      <c r="J4" s="2">
        <f t="shared" si="4"/>
        <v>3</v>
      </c>
      <c r="K4" s="3">
        <f t="shared" si="5"/>
        <v>0.10714285714285714</v>
      </c>
      <c r="L4" s="3">
        <f t="shared" si="6"/>
        <v>-2.1774629628780864</v>
      </c>
      <c r="M4" s="3">
        <f t="shared" si="7"/>
        <v>2.7033774282254166</v>
      </c>
      <c r="N4" s="4">
        <f t="shared" si="9"/>
        <v>1</v>
      </c>
      <c r="O4" s="5">
        <f t="shared" si="10"/>
        <v>2703377428.2254167</v>
      </c>
    </row>
    <row r="5" spans="1:15" x14ac:dyDescent="0.3">
      <c r="A5" s="1">
        <v>79.138009999999994</v>
      </c>
      <c r="B5" s="1">
        <v>3213.9786100000001</v>
      </c>
      <c r="C5" s="2">
        <f t="shared" si="0"/>
        <v>704.00815189938498</v>
      </c>
      <c r="D5" s="3">
        <f t="shared" si="1"/>
        <v>3.2139786100000003</v>
      </c>
      <c r="E5" s="3">
        <v>3.3596452000000001</v>
      </c>
      <c r="F5" s="2">
        <f t="shared" si="2"/>
        <v>4</v>
      </c>
      <c r="G5" s="3">
        <f t="shared" si="3"/>
        <v>0.14285714285714285</v>
      </c>
      <c r="H5" s="3">
        <f t="shared" si="8"/>
        <v>28.442500414387361</v>
      </c>
      <c r="I5" s="3">
        <v>28.865865535687359</v>
      </c>
      <c r="J5" s="2">
        <f t="shared" si="4"/>
        <v>4</v>
      </c>
      <c r="K5" s="3">
        <f t="shared" si="5"/>
        <v>0.14285714285714285</v>
      </c>
      <c r="L5" s="3">
        <f t="shared" si="6"/>
        <v>-1.8698247144926043</v>
      </c>
      <c r="M5" s="3">
        <f t="shared" si="7"/>
        <v>2.9498744770620777</v>
      </c>
      <c r="N5" s="4">
        <f t="shared" si="9"/>
        <v>1</v>
      </c>
      <c r="O5" s="5">
        <f t="shared" si="10"/>
        <v>2949874477.062077</v>
      </c>
    </row>
    <row r="6" spans="1:15" x14ac:dyDescent="0.3">
      <c r="A6" s="1">
        <v>84.512550000000005</v>
      </c>
      <c r="B6" s="1">
        <v>3707.8384599999999</v>
      </c>
      <c r="C6" s="2">
        <f t="shared" si="0"/>
        <v>776.9298522655439</v>
      </c>
      <c r="D6" s="3">
        <f t="shared" si="1"/>
        <v>3.7078384600000001</v>
      </c>
      <c r="E6" s="3">
        <v>3.3747572100000003</v>
      </c>
      <c r="F6" s="2">
        <f t="shared" si="2"/>
        <v>5</v>
      </c>
      <c r="G6" s="3">
        <f t="shared" si="3"/>
        <v>0.17857142857142858</v>
      </c>
      <c r="H6" s="3">
        <f t="shared" si="8"/>
        <v>29.830489552882593</v>
      </c>
      <c r="I6" s="3">
        <v>28.909081291826499</v>
      </c>
      <c r="J6" s="2">
        <f t="shared" si="4"/>
        <v>5</v>
      </c>
      <c r="K6" s="3">
        <f t="shared" si="5"/>
        <v>0.17857142857142858</v>
      </c>
      <c r="L6" s="3">
        <f t="shared" si="6"/>
        <v>-1.6260232202028315</v>
      </c>
      <c r="M6" s="3">
        <f t="shared" si="7"/>
        <v>2.6817501962120351</v>
      </c>
      <c r="N6" s="4">
        <f t="shared" si="9"/>
        <v>1</v>
      </c>
      <c r="O6" s="5">
        <f t="shared" si="10"/>
        <v>2681750196.2120352</v>
      </c>
    </row>
    <row r="7" spans="1:15" x14ac:dyDescent="0.3">
      <c r="A7" s="1">
        <v>83.547929999999994</v>
      </c>
      <c r="B7" s="1">
        <v>3785.7219100000002</v>
      </c>
      <c r="C7" s="2">
        <f t="shared" si="0"/>
        <v>763.66615114687079</v>
      </c>
      <c r="D7" s="3">
        <f t="shared" si="1"/>
        <v>3.7857219100000004</v>
      </c>
      <c r="E7" s="3">
        <v>3.40098294</v>
      </c>
      <c r="F7" s="2">
        <f t="shared" si="2"/>
        <v>6</v>
      </c>
      <c r="G7" s="3">
        <f t="shared" si="3"/>
        <v>0.21428571428571427</v>
      </c>
      <c r="H7" s="3">
        <f t="shared" si="8"/>
        <v>30.037907938828713</v>
      </c>
      <c r="I7" s="3">
        <v>28.983773703768524</v>
      </c>
      <c r="J7" s="2">
        <f t="shared" si="4"/>
        <v>6</v>
      </c>
      <c r="K7" s="3">
        <f t="shared" si="5"/>
        <v>0.21428571428571427</v>
      </c>
      <c r="L7" s="3">
        <f t="shared" si="6"/>
        <v>-1.4222861365496993</v>
      </c>
      <c r="M7" s="3">
        <f t="shared" si="7"/>
        <v>2.6448419132850591</v>
      </c>
      <c r="N7" s="4">
        <f t="shared" si="9"/>
        <v>1</v>
      </c>
      <c r="O7" s="5">
        <f t="shared" si="10"/>
        <v>2644841913.2850599</v>
      </c>
    </row>
    <row r="8" spans="1:15" x14ac:dyDescent="0.3">
      <c r="A8" s="1">
        <v>88.022080000000003</v>
      </c>
      <c r="B8" s="1">
        <v>3567.4275200000002</v>
      </c>
      <c r="C8" s="2">
        <f t="shared" si="0"/>
        <v>825.82388635697316</v>
      </c>
      <c r="D8" s="3">
        <f t="shared" si="1"/>
        <v>3.5674275200000003</v>
      </c>
      <c r="E8" s="3">
        <v>3.4819979600000002</v>
      </c>
      <c r="F8" s="2">
        <f t="shared" si="2"/>
        <v>7</v>
      </c>
      <c r="G8" s="3">
        <f t="shared" si="3"/>
        <v>0.25</v>
      </c>
      <c r="H8" s="3">
        <f t="shared" si="8"/>
        <v>29.449086780353994</v>
      </c>
      <c r="I8" s="3">
        <v>29.212111513811717</v>
      </c>
      <c r="J8" s="2">
        <f t="shared" si="4"/>
        <v>7</v>
      </c>
      <c r="K8" s="3">
        <f t="shared" si="5"/>
        <v>0.25</v>
      </c>
      <c r="L8" s="3">
        <f t="shared" si="6"/>
        <v>-1.2458993237072384</v>
      </c>
      <c r="M8" s="3">
        <f t="shared" si="7"/>
        <v>2.751664106722481</v>
      </c>
      <c r="N8" s="4">
        <f t="shared" si="9"/>
        <v>1</v>
      </c>
      <c r="O8" s="5">
        <f t="shared" si="10"/>
        <v>2751664106.7224817</v>
      </c>
    </row>
    <row r="9" spans="1:15" x14ac:dyDescent="0.3">
      <c r="A9" s="1">
        <v>81.963459999999998</v>
      </c>
      <c r="B9" s="1">
        <v>3610.4748399999999</v>
      </c>
      <c r="C9" s="2">
        <f t="shared" si="0"/>
        <v>742.04531096384289</v>
      </c>
      <c r="D9" s="3">
        <f t="shared" si="1"/>
        <v>3.6104748399999997</v>
      </c>
      <c r="E9" s="3">
        <v>3.4908322699999998</v>
      </c>
      <c r="F9" s="2">
        <f t="shared" si="2"/>
        <v>8</v>
      </c>
      <c r="G9" s="3">
        <f t="shared" si="3"/>
        <v>0.2857142857142857</v>
      </c>
      <c r="H9" s="3">
        <f t="shared" si="8"/>
        <v>29.567065270860482</v>
      </c>
      <c r="I9" s="3">
        <v>29.236795704404845</v>
      </c>
      <c r="J9" s="2">
        <f t="shared" si="4"/>
        <v>8</v>
      </c>
      <c r="K9" s="3">
        <f t="shared" si="5"/>
        <v>0.2857142857142857</v>
      </c>
      <c r="L9" s="3">
        <f t="shared" si="6"/>
        <v>-1.0892396396274506</v>
      </c>
      <c r="M9" s="3">
        <f t="shared" si="7"/>
        <v>2.729748540117277</v>
      </c>
      <c r="N9" s="4">
        <f t="shared" si="9"/>
        <v>1</v>
      </c>
      <c r="O9" s="5">
        <f t="shared" si="10"/>
        <v>2729748540.1172781</v>
      </c>
    </row>
    <row r="10" spans="1:15" x14ac:dyDescent="0.3">
      <c r="A10" s="1">
        <v>86.025019999999998</v>
      </c>
      <c r="B10" s="1">
        <v>4054.8021800000001</v>
      </c>
      <c r="C10" s="2">
        <f t="shared" si="0"/>
        <v>797.87925482729941</v>
      </c>
      <c r="D10" s="3">
        <f t="shared" si="1"/>
        <v>4.0548021800000003</v>
      </c>
      <c r="E10" s="3">
        <v>3.5169387599999999</v>
      </c>
      <c r="F10" s="2">
        <f t="shared" si="2"/>
        <v>9</v>
      </c>
      <c r="G10" s="3">
        <f t="shared" si="3"/>
        <v>0.32142857142857145</v>
      </c>
      <c r="H10" s="3">
        <f t="shared" si="8"/>
        <v>30.733357145992635</v>
      </c>
      <c r="I10" s="3">
        <v>29.309498066371091</v>
      </c>
      <c r="J10" s="2">
        <f t="shared" si="4"/>
        <v>9</v>
      </c>
      <c r="K10" s="3">
        <f t="shared" si="5"/>
        <v>0.32142857142857145</v>
      </c>
      <c r="L10" s="3">
        <f t="shared" si="6"/>
        <v>-0.94735442354642807</v>
      </c>
      <c r="M10" s="3">
        <f t="shared" si="7"/>
        <v>2.5264986865518417</v>
      </c>
      <c r="N10" s="4">
        <f t="shared" si="9"/>
        <v>1</v>
      </c>
      <c r="O10" s="5">
        <f t="shared" si="10"/>
        <v>2526498686.5518413</v>
      </c>
    </row>
    <row r="11" spans="1:15" x14ac:dyDescent="0.3">
      <c r="A11" s="1">
        <v>85.146389999999997</v>
      </c>
      <c r="B11" s="1">
        <v>3659.9631899999999</v>
      </c>
      <c r="C11" s="2">
        <f t="shared" si="0"/>
        <v>785.68662394451371</v>
      </c>
      <c r="D11" s="3">
        <f t="shared" si="1"/>
        <v>3.65996319</v>
      </c>
      <c r="E11" s="3">
        <v>3.5344468400000002</v>
      </c>
      <c r="F11" s="2">
        <f t="shared" si="2"/>
        <v>10</v>
      </c>
      <c r="G11" s="3">
        <f t="shared" si="3"/>
        <v>0.35714285714285715</v>
      </c>
      <c r="H11" s="3">
        <f t="shared" si="8"/>
        <v>29.701543455329787</v>
      </c>
      <c r="I11" s="3">
        <v>29.35805391662268</v>
      </c>
      <c r="J11" s="2">
        <f t="shared" si="4"/>
        <v>10</v>
      </c>
      <c r="K11" s="3">
        <f t="shared" si="5"/>
        <v>0.35714285714285715</v>
      </c>
      <c r="L11" s="3">
        <f t="shared" si="6"/>
        <v>-0.81682385702039551</v>
      </c>
      <c r="M11" s="3">
        <f t="shared" si="7"/>
        <v>2.7050858085569787</v>
      </c>
      <c r="N11" s="4">
        <f t="shared" si="9"/>
        <v>1</v>
      </c>
      <c r="O11" s="5">
        <f t="shared" si="10"/>
        <v>2705085808.5569787</v>
      </c>
    </row>
    <row r="12" spans="1:15" x14ac:dyDescent="0.3">
      <c r="A12" s="1">
        <v>93.774609999999996</v>
      </c>
      <c r="B12" s="1">
        <v>4071.71279</v>
      </c>
      <c r="C12" s="2">
        <f t="shared" si="0"/>
        <v>908.08792317370535</v>
      </c>
      <c r="D12" s="3">
        <f t="shared" si="1"/>
        <v>4.0717127900000003</v>
      </c>
      <c r="E12" s="3">
        <v>3.5576274100000003</v>
      </c>
      <c r="F12" s="2">
        <f t="shared" si="2"/>
        <v>11</v>
      </c>
      <c r="G12" s="3">
        <f t="shared" si="3"/>
        <v>0.39285714285714285</v>
      </c>
      <c r="H12" s="3">
        <f t="shared" si="8"/>
        <v>30.776022522615392</v>
      </c>
      <c r="I12" s="3">
        <v>29.422095438268681</v>
      </c>
      <c r="J12" s="2">
        <f t="shared" si="4"/>
        <v>11</v>
      </c>
      <c r="K12" s="3">
        <f t="shared" si="5"/>
        <v>0.39285714285714285</v>
      </c>
      <c r="L12" s="3">
        <f t="shared" si="6"/>
        <v>-0.69516688655568248</v>
      </c>
      <c r="M12" s="3">
        <f t="shared" si="7"/>
        <v>2.5194984772501918</v>
      </c>
      <c r="N12" s="4">
        <f t="shared" si="9"/>
        <v>1</v>
      </c>
      <c r="O12" s="5">
        <f t="shared" si="10"/>
        <v>2519498477.2501912</v>
      </c>
    </row>
    <row r="13" spans="1:15" x14ac:dyDescent="0.3">
      <c r="A13" s="1">
        <v>86.348320000000001</v>
      </c>
      <c r="B13" s="1">
        <v>3707.7893100000001</v>
      </c>
      <c r="C13" s="2">
        <f t="shared" si="0"/>
        <v>802.38137362524662</v>
      </c>
      <c r="D13" s="3">
        <f t="shared" si="1"/>
        <v>3.7077893099999999</v>
      </c>
      <c r="E13" s="3">
        <v>3.5689091099999999</v>
      </c>
      <c r="F13" s="2">
        <f t="shared" si="2"/>
        <v>12</v>
      </c>
      <c r="G13" s="3">
        <f t="shared" si="3"/>
        <v>0.42857142857142855</v>
      </c>
      <c r="H13" s="3">
        <f t="shared" si="8"/>
        <v>29.830357744278039</v>
      </c>
      <c r="I13" s="3">
        <v>29.45316305412355</v>
      </c>
      <c r="J13" s="2">
        <f t="shared" si="4"/>
        <v>12</v>
      </c>
      <c r="K13" s="3">
        <f t="shared" si="5"/>
        <v>0.42857142857142855</v>
      </c>
      <c r="L13" s="3">
        <f t="shared" si="6"/>
        <v>-0.58050482369489387</v>
      </c>
      <c r="M13" s="3">
        <f t="shared" si="7"/>
        <v>2.6817738954606387</v>
      </c>
      <c r="N13" s="4">
        <f t="shared" si="9"/>
        <v>1</v>
      </c>
      <c r="O13" s="5">
        <f t="shared" si="10"/>
        <v>2681773895.4606385</v>
      </c>
    </row>
    <row r="14" spans="1:15" x14ac:dyDescent="0.3">
      <c r="A14" s="1">
        <v>93.737780000000001</v>
      </c>
      <c r="B14" s="1">
        <v>4212.8624</v>
      </c>
      <c r="C14" s="2">
        <f t="shared" si="0"/>
        <v>907.55299808911332</v>
      </c>
      <c r="D14" s="3">
        <f t="shared" si="1"/>
        <v>4.2128623999999997</v>
      </c>
      <c r="E14" s="3">
        <v>3.5821536599999999</v>
      </c>
      <c r="F14" s="2">
        <f t="shared" si="2"/>
        <v>13</v>
      </c>
      <c r="G14" s="3">
        <f t="shared" si="3"/>
        <v>0.4642857142857143</v>
      </c>
      <c r="H14" s="3">
        <f t="shared" si="8"/>
        <v>31.127616739618468</v>
      </c>
      <c r="I14" s="3">
        <v>29.489552542065091</v>
      </c>
      <c r="J14" s="2">
        <f t="shared" si="4"/>
        <v>13</v>
      </c>
      <c r="K14" s="3">
        <f t="shared" si="5"/>
        <v>0.4642857142857143</v>
      </c>
      <c r="L14" s="3">
        <f t="shared" si="6"/>
        <v>-0.47135765100280647</v>
      </c>
      <c r="M14" s="3">
        <f t="shared" si="7"/>
        <v>2.462903190604917</v>
      </c>
      <c r="N14" s="4">
        <f t="shared" si="9"/>
        <v>1</v>
      </c>
      <c r="O14" s="5">
        <f t="shared" si="10"/>
        <v>2462903190.604917</v>
      </c>
    </row>
    <row r="15" spans="1:15" x14ac:dyDescent="0.3">
      <c r="A15" s="1">
        <v>87.605230000000006</v>
      </c>
      <c r="B15" s="1">
        <v>3805.8146499999998</v>
      </c>
      <c r="C15" s="2">
        <f t="shared" si="0"/>
        <v>819.96450196510659</v>
      </c>
      <c r="D15" s="3">
        <f t="shared" si="1"/>
        <v>3.8058146499999999</v>
      </c>
      <c r="E15" s="3">
        <v>3.5972410300000002</v>
      </c>
      <c r="F15" s="2">
        <f t="shared" si="2"/>
        <v>14</v>
      </c>
      <c r="G15" s="3">
        <f t="shared" si="3"/>
        <v>0.5</v>
      </c>
      <c r="H15" s="3">
        <f t="shared" si="8"/>
        <v>30.090956318610306</v>
      </c>
      <c r="I15" s="3">
        <v>29.530896069823243</v>
      </c>
      <c r="J15" s="2">
        <f t="shared" si="4"/>
        <v>14</v>
      </c>
      <c r="K15" s="3">
        <f t="shared" si="5"/>
        <v>0.5</v>
      </c>
      <c r="L15" s="3">
        <f t="shared" si="6"/>
        <v>-0.36651292058166435</v>
      </c>
      <c r="M15" s="3">
        <f t="shared" si="7"/>
        <v>2.6355247680992826</v>
      </c>
      <c r="N15" s="4">
        <f t="shared" si="9"/>
        <v>1</v>
      </c>
      <c r="O15" s="5">
        <f t="shared" si="10"/>
        <v>2635524768.0992827</v>
      </c>
    </row>
    <row r="16" spans="1:15" x14ac:dyDescent="0.3">
      <c r="A16" s="1">
        <v>89.307609999999997</v>
      </c>
      <c r="B16" s="1">
        <v>4046.1336999999999</v>
      </c>
      <c r="C16" s="2">
        <f t="shared" si="0"/>
        <v>843.98106028618508</v>
      </c>
      <c r="D16" s="3">
        <f t="shared" si="1"/>
        <v>4.0461336999999995</v>
      </c>
      <c r="E16" s="3">
        <v>3.6324596099999997</v>
      </c>
      <c r="F16" s="2">
        <f t="shared" si="2"/>
        <v>15</v>
      </c>
      <c r="G16" s="3">
        <f t="shared" si="3"/>
        <v>0.5357142857142857</v>
      </c>
      <c r="H16" s="3">
        <f t="shared" si="8"/>
        <v>30.711440617289039</v>
      </c>
      <c r="I16" s="3">
        <v>29.626956765640838</v>
      </c>
      <c r="J16" s="2">
        <f t="shared" si="4"/>
        <v>15</v>
      </c>
      <c r="K16" s="3">
        <f t="shared" si="5"/>
        <v>0.5357142857142857</v>
      </c>
      <c r="L16" s="3">
        <f t="shared" si="6"/>
        <v>-0.26493586968383609</v>
      </c>
      <c r="M16" s="3">
        <f t="shared" si="7"/>
        <v>2.53010593110892</v>
      </c>
      <c r="N16" s="4">
        <f t="shared" si="9"/>
        <v>1</v>
      </c>
      <c r="O16" s="5">
        <f t="shared" si="10"/>
        <v>2530105931.1089201</v>
      </c>
    </row>
    <row r="17" spans="1:15" x14ac:dyDescent="0.3">
      <c r="A17" s="1">
        <v>82.917990000000003</v>
      </c>
      <c r="B17" s="1">
        <v>3495.0972000000002</v>
      </c>
      <c r="C17" s="2">
        <f t="shared" si="0"/>
        <v>755.04554396593551</v>
      </c>
      <c r="D17" s="3">
        <f t="shared" si="1"/>
        <v>3.4950972</v>
      </c>
      <c r="E17" s="3">
        <v>3.6524106000000001</v>
      </c>
      <c r="F17" s="2">
        <f t="shared" si="2"/>
        <v>16</v>
      </c>
      <c r="G17" s="3">
        <f t="shared" si="3"/>
        <v>0.5714285714285714</v>
      </c>
      <c r="H17" s="3">
        <f t="shared" si="8"/>
        <v>29.24869755957452</v>
      </c>
      <c r="I17" s="3">
        <v>29.681098981980607</v>
      </c>
      <c r="J17" s="2">
        <f t="shared" si="4"/>
        <v>16</v>
      </c>
      <c r="K17" s="3">
        <f t="shared" si="5"/>
        <v>0.5714285714285714</v>
      </c>
      <c r="L17" s="3">
        <f t="shared" si="6"/>
        <v>-0.16570298099369651</v>
      </c>
      <c r="M17" s="3">
        <f t="shared" si="7"/>
        <v>2.7894977722483669</v>
      </c>
      <c r="N17" s="4">
        <f t="shared" si="9"/>
        <v>1</v>
      </c>
      <c r="O17" s="5">
        <f t="shared" si="10"/>
        <v>2789497772.2483673</v>
      </c>
    </row>
    <row r="18" spans="1:15" x14ac:dyDescent="0.3">
      <c r="A18" s="1">
        <v>89.473950000000002</v>
      </c>
      <c r="B18" s="1">
        <v>3987.4799499999999</v>
      </c>
      <c r="C18" s="2">
        <f t="shared" si="0"/>
        <v>846.34009484934234</v>
      </c>
      <c r="D18" s="3">
        <f t="shared" si="1"/>
        <v>3.98747995</v>
      </c>
      <c r="E18" s="3">
        <v>3.6566934900000003</v>
      </c>
      <c r="F18" s="2">
        <f t="shared" si="2"/>
        <v>17</v>
      </c>
      <c r="G18" s="3">
        <f t="shared" si="3"/>
        <v>0.6071428571428571</v>
      </c>
      <c r="H18" s="3">
        <f t="shared" si="8"/>
        <v>30.562317503178249</v>
      </c>
      <c r="I18" s="3">
        <v>29.692696001055914</v>
      </c>
      <c r="J18" s="2">
        <f t="shared" si="4"/>
        <v>17</v>
      </c>
      <c r="K18" s="3">
        <f t="shared" si="5"/>
        <v>0.6071428571428571</v>
      </c>
      <c r="L18" s="3">
        <f t="shared" si="6"/>
        <v>-6.794780628269334E-2</v>
      </c>
      <c r="M18" s="3">
        <f t="shared" si="7"/>
        <v>2.5548565247898196</v>
      </c>
      <c r="N18" s="4">
        <f t="shared" si="9"/>
        <v>1</v>
      </c>
      <c r="O18" s="5">
        <f t="shared" si="10"/>
        <v>2554856524.7898202</v>
      </c>
    </row>
    <row r="19" spans="1:15" x14ac:dyDescent="0.3">
      <c r="A19" s="1">
        <v>81.804749999999999</v>
      </c>
      <c r="B19" s="1">
        <v>3679.39111</v>
      </c>
      <c r="C19" s="2">
        <f t="shared" si="0"/>
        <v>739.89106475679546</v>
      </c>
      <c r="D19" s="3">
        <f t="shared" si="1"/>
        <v>3.6793911100000001</v>
      </c>
      <c r="E19" s="3">
        <v>3.6740133999999998</v>
      </c>
      <c r="F19" s="2">
        <f t="shared" si="2"/>
        <v>18</v>
      </c>
      <c r="G19" s="3">
        <f t="shared" si="3"/>
        <v>0.6428571428571429</v>
      </c>
      <c r="H19" s="3">
        <f t="shared" si="8"/>
        <v>29.754004929393616</v>
      </c>
      <c r="I19" s="3">
        <v>29.739501947492187</v>
      </c>
      <c r="J19" s="2">
        <f t="shared" si="4"/>
        <v>18</v>
      </c>
      <c r="K19" s="3">
        <f t="shared" si="5"/>
        <v>0.6428571428571429</v>
      </c>
      <c r="L19" s="3">
        <f t="shared" si="6"/>
        <v>2.918923607801098E-2</v>
      </c>
      <c r="M19" s="3">
        <f t="shared" si="7"/>
        <v>2.6955551466588195</v>
      </c>
      <c r="N19" s="4">
        <f t="shared" si="9"/>
        <v>1</v>
      </c>
      <c r="O19" s="5">
        <f t="shared" si="10"/>
        <v>2695555146.6588192</v>
      </c>
    </row>
    <row r="20" spans="1:15" x14ac:dyDescent="0.3">
      <c r="A20" s="1">
        <v>82.396699999999996</v>
      </c>
      <c r="B20" s="1">
        <v>3778.3342200000002</v>
      </c>
      <c r="C20" s="2">
        <f t="shared" si="0"/>
        <v>747.93650002388017</v>
      </c>
      <c r="D20" s="3">
        <f t="shared" si="1"/>
        <v>3.7783342200000001</v>
      </c>
      <c r="E20" s="3">
        <v>3.6786199700000002</v>
      </c>
      <c r="F20" s="2">
        <f t="shared" si="2"/>
        <v>19</v>
      </c>
      <c r="G20" s="3">
        <f t="shared" si="3"/>
        <v>0.6785714285714286</v>
      </c>
      <c r="H20" s="3">
        <f t="shared" si="8"/>
        <v>30.018355942832049</v>
      </c>
      <c r="I20" s="3">
        <v>29.751926133763906</v>
      </c>
      <c r="J20" s="2">
        <f t="shared" si="4"/>
        <v>19</v>
      </c>
      <c r="K20" s="3">
        <f t="shared" si="5"/>
        <v>0.6785714285714286</v>
      </c>
      <c r="L20" s="3">
        <f t="shared" si="6"/>
        <v>0.12661497045899217</v>
      </c>
      <c r="M20" s="3">
        <f t="shared" si="7"/>
        <v>2.6482883898001703</v>
      </c>
      <c r="N20" s="4">
        <f t="shared" si="9"/>
        <v>1</v>
      </c>
      <c r="O20" s="5">
        <f t="shared" si="10"/>
        <v>2648288389.8001704</v>
      </c>
    </row>
    <row r="21" spans="1:15" x14ac:dyDescent="0.3">
      <c r="A21" s="1">
        <v>87.171180000000007</v>
      </c>
      <c r="B21" s="1">
        <v>3813.4913900000001</v>
      </c>
      <c r="C21" s="2">
        <f t="shared" si="0"/>
        <v>813.87814644001514</v>
      </c>
      <c r="D21" s="3">
        <f t="shared" si="1"/>
        <v>3.8134913900000003</v>
      </c>
      <c r="E21" s="3">
        <v>3.6800974000000002</v>
      </c>
      <c r="F21" s="2">
        <f t="shared" si="2"/>
        <v>20</v>
      </c>
      <c r="G21" s="3">
        <f t="shared" si="3"/>
        <v>0.7142857142857143</v>
      </c>
      <c r="H21" s="3">
        <f t="shared" si="8"/>
        <v>30.111174968704326</v>
      </c>
      <c r="I21" s="3">
        <v>29.75590865123155</v>
      </c>
      <c r="J21" s="2">
        <f t="shared" si="4"/>
        <v>20</v>
      </c>
      <c r="K21" s="3">
        <f t="shared" si="5"/>
        <v>0.7142857142857143</v>
      </c>
      <c r="L21" s="3">
        <f t="shared" si="6"/>
        <v>0.22535148682596154</v>
      </c>
      <c r="M21" s="3">
        <f t="shared" si="7"/>
        <v>2.6319866223433226</v>
      </c>
      <c r="N21" s="4">
        <f t="shared" si="9"/>
        <v>1</v>
      </c>
      <c r="O21" s="5">
        <f t="shared" si="10"/>
        <v>2631986622.3433223</v>
      </c>
    </row>
    <row r="22" spans="1:15" x14ac:dyDescent="0.3">
      <c r="A22" s="1">
        <v>82.889240000000001</v>
      </c>
      <c r="B22" s="1">
        <v>3681.62689</v>
      </c>
      <c r="C22" s="2">
        <f t="shared" si="0"/>
        <v>754.65288470782639</v>
      </c>
      <c r="D22" s="3">
        <f t="shared" si="1"/>
        <v>3.68162689</v>
      </c>
      <c r="E22" s="3">
        <v>3.81925151</v>
      </c>
      <c r="F22" s="2">
        <f t="shared" si="2"/>
        <v>21</v>
      </c>
      <c r="G22" s="3">
        <f t="shared" si="3"/>
        <v>0.75</v>
      </c>
      <c r="H22" s="3">
        <f t="shared" si="8"/>
        <v>29.760030377390766</v>
      </c>
      <c r="I22" s="3">
        <v>30.126327900755278</v>
      </c>
      <c r="J22" s="2">
        <f t="shared" si="4"/>
        <v>21</v>
      </c>
      <c r="K22" s="3">
        <f t="shared" si="5"/>
        <v>0.75</v>
      </c>
      <c r="L22" s="3">
        <f t="shared" si="6"/>
        <v>0.32663425997828094</v>
      </c>
      <c r="M22" s="3">
        <f t="shared" si="7"/>
        <v>2.6944637308961314</v>
      </c>
      <c r="N22" s="4">
        <f t="shared" si="9"/>
        <v>1</v>
      </c>
      <c r="O22" s="5">
        <f t="shared" si="10"/>
        <v>2694463730.896132</v>
      </c>
    </row>
    <row r="23" spans="1:15" x14ac:dyDescent="0.3">
      <c r="A23" s="1">
        <v>79.775989999999993</v>
      </c>
      <c r="B23" s="1">
        <v>3482.5340099999999</v>
      </c>
      <c r="C23" s="2">
        <f t="shared" si="0"/>
        <v>712.53844813756916</v>
      </c>
      <c r="D23" s="3">
        <f t="shared" si="1"/>
        <v>3.4825340099999997</v>
      </c>
      <c r="E23" s="3">
        <v>3.8340293000000001</v>
      </c>
      <c r="F23" s="2">
        <f t="shared" si="2"/>
        <v>22</v>
      </c>
      <c r="G23" s="3">
        <f t="shared" si="3"/>
        <v>0.7857142857142857</v>
      </c>
      <c r="H23" s="3">
        <f t="shared" si="8"/>
        <v>29.213610495053278</v>
      </c>
      <c r="I23" s="3">
        <v>30.165133722077702</v>
      </c>
      <c r="J23" s="2">
        <f t="shared" si="4"/>
        <v>22</v>
      </c>
      <c r="K23" s="3">
        <f t="shared" si="5"/>
        <v>0.7857142857142857</v>
      </c>
      <c r="L23" s="3">
        <f t="shared" si="6"/>
        <v>0.43207136230467502</v>
      </c>
      <c r="M23" s="3">
        <f t="shared" si="7"/>
        <v>2.7962024597766266</v>
      </c>
      <c r="N23" s="4">
        <f t="shared" si="9"/>
        <v>1</v>
      </c>
      <c r="O23" s="5">
        <f t="shared" si="10"/>
        <v>2796202459.7766266</v>
      </c>
    </row>
    <row r="24" spans="1:15" x14ac:dyDescent="0.3">
      <c r="A24" s="1">
        <v>85.891220000000004</v>
      </c>
      <c r="B24" s="1">
        <v>3686.8561</v>
      </c>
      <c r="C24" s="2">
        <f t="shared" si="0"/>
        <v>796.01849288166932</v>
      </c>
      <c r="D24" s="3">
        <f t="shared" si="1"/>
        <v>3.6868561</v>
      </c>
      <c r="E24" s="3">
        <v>3.8594720100000002</v>
      </c>
      <c r="F24" s="2">
        <f t="shared" si="2"/>
        <v>23</v>
      </c>
      <c r="G24" s="3">
        <f t="shared" si="3"/>
        <v>0.8214285714285714</v>
      </c>
      <c r="H24" s="3">
        <f t="shared" si="8"/>
        <v>29.774113628450522</v>
      </c>
      <c r="I24" s="3">
        <v>30.231712182384108</v>
      </c>
      <c r="J24" s="2">
        <f t="shared" si="4"/>
        <v>23</v>
      </c>
      <c r="K24" s="3">
        <f t="shared" si="5"/>
        <v>0.8214285714285714</v>
      </c>
      <c r="L24" s="3">
        <f t="shared" si="6"/>
        <v>0.54393148565433791</v>
      </c>
      <c r="M24" s="3">
        <f t="shared" si="7"/>
        <v>2.6919153537933962</v>
      </c>
      <c r="N24" s="4">
        <f t="shared" si="9"/>
        <v>1</v>
      </c>
      <c r="O24" s="5">
        <f t="shared" si="10"/>
        <v>2691915353.793396</v>
      </c>
    </row>
    <row r="25" spans="1:15" x14ac:dyDescent="0.3">
      <c r="A25" s="1">
        <v>92.310599999999994</v>
      </c>
      <c r="B25" s="1">
        <v>4187.2540900000004</v>
      </c>
      <c r="C25" s="2">
        <f t="shared" si="0"/>
        <v>886.90552571041962</v>
      </c>
      <c r="D25" s="3">
        <f t="shared" si="1"/>
        <v>4.1872540900000006</v>
      </c>
      <c r="E25" s="3">
        <v>3.8617163200000002</v>
      </c>
      <c r="F25" s="2">
        <f t="shared" si="2"/>
        <v>24</v>
      </c>
      <c r="G25" s="3">
        <f t="shared" si="3"/>
        <v>0.8571428571428571</v>
      </c>
      <c r="H25" s="3">
        <f t="shared" si="8"/>
        <v>31.064417723841686</v>
      </c>
      <c r="I25" s="3">
        <v>30.237571030988132</v>
      </c>
      <c r="J25" s="2">
        <f t="shared" si="4"/>
        <v>24</v>
      </c>
      <c r="K25" s="3">
        <f t="shared" si="5"/>
        <v>0.8571428571428571</v>
      </c>
      <c r="L25" s="3">
        <f t="shared" si="6"/>
        <v>0.66572981057827629</v>
      </c>
      <c r="M25" s="3">
        <f t="shared" si="7"/>
        <v>2.4729346930907714</v>
      </c>
      <c r="N25" s="4">
        <f t="shared" si="9"/>
        <v>1</v>
      </c>
      <c r="O25" s="5">
        <f t="shared" si="10"/>
        <v>2472934693.0907707</v>
      </c>
    </row>
    <row r="26" spans="1:15" x14ac:dyDescent="0.3">
      <c r="A26" s="1">
        <v>80.832800000000006</v>
      </c>
      <c r="B26" s="1">
        <v>3492.5468799999999</v>
      </c>
      <c r="C26" s="2">
        <f t="shared" si="0"/>
        <v>726.74396522771519</v>
      </c>
      <c r="D26" s="3">
        <f t="shared" si="1"/>
        <v>3.4925468799999999</v>
      </c>
      <c r="E26" s="3">
        <v>3.8695582800000001</v>
      </c>
      <c r="F26" s="2">
        <f t="shared" si="2"/>
        <v>25</v>
      </c>
      <c r="G26" s="3">
        <f t="shared" si="3"/>
        <v>0.8928571428571429</v>
      </c>
      <c r="H26" s="3">
        <f t="shared" si="8"/>
        <v>29.241581716560606</v>
      </c>
      <c r="I26" s="3">
        <v>30.258024932528073</v>
      </c>
      <c r="J26" s="2">
        <f t="shared" si="4"/>
        <v>25</v>
      </c>
      <c r="K26" s="3">
        <f t="shared" si="5"/>
        <v>0.8928571428571429</v>
      </c>
      <c r="L26" s="3">
        <f t="shared" si="6"/>
        <v>0.8036111510884012</v>
      </c>
      <c r="M26" s="3">
        <f t="shared" si="7"/>
        <v>2.7908555677054228</v>
      </c>
      <c r="N26" s="4">
        <f t="shared" si="9"/>
        <v>1</v>
      </c>
      <c r="O26" s="5">
        <f t="shared" si="10"/>
        <v>2790855567.7054229</v>
      </c>
    </row>
    <row r="27" spans="1:15" x14ac:dyDescent="0.3">
      <c r="A27" s="1">
        <v>83.82911</v>
      </c>
      <c r="B27" s="1">
        <v>3598.3606300000001</v>
      </c>
      <c r="C27" s="2">
        <f t="shared" si="0"/>
        <v>767.52456295824277</v>
      </c>
      <c r="D27" s="3">
        <f t="shared" si="1"/>
        <v>3.5983606300000002</v>
      </c>
      <c r="E27" s="3">
        <v>3.94814497</v>
      </c>
      <c r="F27" s="2">
        <f t="shared" si="2"/>
        <v>26</v>
      </c>
      <c r="G27" s="3">
        <f t="shared" si="3"/>
        <v>0.9285714285714286</v>
      </c>
      <c r="H27" s="3">
        <f t="shared" si="8"/>
        <v>29.533959469561999</v>
      </c>
      <c r="I27" s="3">
        <v>30.461490000768144</v>
      </c>
      <c r="J27" s="2">
        <f t="shared" si="4"/>
        <v>26</v>
      </c>
      <c r="K27" s="3">
        <f t="shared" si="5"/>
        <v>0.9285714285714286</v>
      </c>
      <c r="L27" s="3">
        <f t="shared" si="6"/>
        <v>0.97042178127736523</v>
      </c>
      <c r="M27" s="3">
        <f t="shared" si="7"/>
        <v>2.7358717396040055</v>
      </c>
      <c r="N27" s="4">
        <f t="shared" si="9"/>
        <v>1</v>
      </c>
      <c r="O27" s="5">
        <f>((H27*(10^-3))/(3*D27)) * (10^12)</f>
        <v>2735871739.6040058</v>
      </c>
    </row>
    <row r="28" spans="1:15" x14ac:dyDescent="0.3">
      <c r="A28" s="1">
        <v>93.108249999999998</v>
      </c>
      <c r="B28" s="1">
        <v>4240.7442799999999</v>
      </c>
      <c r="C28" s="2">
        <f t="shared" si="0"/>
        <v>898.42586414123082</v>
      </c>
      <c r="D28" s="3">
        <f t="shared" si="1"/>
        <v>4.2407442799999995</v>
      </c>
      <c r="E28" s="3">
        <v>4.0106127100000002</v>
      </c>
      <c r="F28" s="2">
        <f t="shared" si="2"/>
        <v>27</v>
      </c>
      <c r="G28" s="3">
        <f t="shared" si="3"/>
        <v>0.9642857142857143</v>
      </c>
      <c r="H28" s="3">
        <f t="shared" si="8"/>
        <v>31.19613617227423</v>
      </c>
      <c r="I28" s="3">
        <v>30.621304464661325</v>
      </c>
      <c r="J28" s="2">
        <f t="shared" si="4"/>
        <v>27</v>
      </c>
      <c r="K28" s="3">
        <f t="shared" si="5"/>
        <v>0.9642857142857143</v>
      </c>
      <c r="L28" s="3">
        <f t="shared" si="6"/>
        <v>1.2036341000246709</v>
      </c>
      <c r="M28" s="3">
        <f t="shared" si="7"/>
        <v>2.4520959932591699</v>
      </c>
      <c r="N28" s="4">
        <f t="shared" si="9"/>
        <v>1</v>
      </c>
      <c r="O28" s="5">
        <f t="shared" si="10"/>
        <v>2452095993.2591701</v>
      </c>
    </row>
    <row r="29" spans="1:15" x14ac:dyDescent="0.3">
      <c r="A29" s="1">
        <v>86.562870000000004</v>
      </c>
      <c r="B29" s="1">
        <v>3911.73236</v>
      </c>
      <c r="C29" s="2">
        <f t="shared" si="0"/>
        <v>805.37375058433429</v>
      </c>
      <c r="D29" s="3">
        <f t="shared" si="1"/>
        <v>3.9117323599999998</v>
      </c>
      <c r="E29" s="3">
        <v>4.2205576899999997</v>
      </c>
      <c r="F29" s="2">
        <f t="shared" si="2"/>
        <v>28</v>
      </c>
      <c r="G29" s="3">
        <f t="shared" si="3"/>
        <v>1</v>
      </c>
      <c r="H29" s="3">
        <f t="shared" si="8"/>
        <v>30.367554761666337</v>
      </c>
      <c r="I29" s="3">
        <v>31.146557965794713</v>
      </c>
      <c r="J29" s="2">
        <f t="shared" si="4"/>
        <v>28</v>
      </c>
      <c r="K29" s="3">
        <f t="shared" si="5"/>
        <v>1</v>
      </c>
      <c r="L29" s="3" t="e">
        <f t="shared" si="6"/>
        <v>#DIV/0!</v>
      </c>
      <c r="M29" s="3">
        <f t="shared" si="7"/>
        <v>2.5877328309569672</v>
      </c>
      <c r="N29" s="4">
        <f t="shared" si="9"/>
        <v>1</v>
      </c>
      <c r="O29" s="5">
        <f t="shared" si="10"/>
        <v>2587732830.9569678</v>
      </c>
    </row>
    <row r="30" spans="1:15" x14ac:dyDescent="0.3">
      <c r="A30" s="4">
        <v>83.279669999999996</v>
      </c>
      <c r="B30" s="2">
        <v>3515.0162700000001</v>
      </c>
      <c r="C30" s="2">
        <f t="shared" si="0"/>
        <v>759.99107716893081</v>
      </c>
      <c r="D30" s="3"/>
      <c r="E30" s="3"/>
      <c r="F30" s="2"/>
      <c r="G30" s="3"/>
      <c r="H30" s="3"/>
      <c r="I30" s="3"/>
      <c r="J30" s="2"/>
      <c r="K30" s="3"/>
      <c r="L30" s="3"/>
      <c r="M30" s="3"/>
      <c r="N30" s="4"/>
      <c r="O30" s="5"/>
    </row>
    <row r="31" spans="1:15" x14ac:dyDescent="0.3">
      <c r="A31" s="4"/>
      <c r="B31" s="2"/>
      <c r="C31" s="2">
        <f t="shared" si="0"/>
        <v>0</v>
      </c>
      <c r="D31" s="3"/>
      <c r="E31" s="3"/>
      <c r="F31" s="2"/>
      <c r="G31" s="3"/>
      <c r="H31" s="3"/>
      <c r="I31" s="3"/>
      <c r="J31" s="2"/>
      <c r="K31" s="3"/>
      <c r="L31" s="3"/>
      <c r="M31" s="3"/>
      <c r="N31" s="4"/>
      <c r="O31" s="5"/>
    </row>
    <row r="32" spans="1:15" x14ac:dyDescent="0.3">
      <c r="A32" s="1"/>
      <c r="B32" s="2"/>
      <c r="C32" s="1"/>
      <c r="E32" s="3"/>
      <c r="F32" s="2"/>
      <c r="G32" s="3"/>
      <c r="H32" s="3"/>
      <c r="I32" s="6"/>
      <c r="J32" s="2"/>
      <c r="K32" s="3"/>
      <c r="L32" s="3"/>
      <c r="M32" s="3"/>
      <c r="N32" s="4"/>
      <c r="O32" s="5"/>
    </row>
    <row r="33" spans="1:15" x14ac:dyDescent="0.3">
      <c r="A33" s="1"/>
      <c r="B33" s="2"/>
      <c r="C33" s="1"/>
      <c r="E33" s="3"/>
      <c r="F33" s="2"/>
      <c r="G33" s="3"/>
      <c r="H33" s="3"/>
      <c r="I33" s="3"/>
      <c r="J33" s="2"/>
      <c r="K33" s="3"/>
      <c r="L33" s="3"/>
      <c r="M33" s="3"/>
      <c r="N33" s="4"/>
      <c r="O33" s="5"/>
    </row>
    <row r="34" spans="1:15" x14ac:dyDescent="0.3">
      <c r="A34" s="4">
        <f>AVERAGE(A2:A31)</f>
        <v>86.240141724137942</v>
      </c>
      <c r="B34" s="4">
        <f>AVERAGE(B2:B31)</f>
        <v>3755.3526099999999</v>
      </c>
      <c r="C34" s="4">
        <f>AVERAGE(C2:C31)</f>
        <v>774.89485686988348</v>
      </c>
      <c r="D34" s="4"/>
      <c r="E34" s="3"/>
      <c r="F34" s="2"/>
      <c r="G34" s="3"/>
      <c r="H34" s="3"/>
      <c r="I34" s="3"/>
      <c r="J34" s="2"/>
      <c r="K34" s="3"/>
      <c r="L34" s="3"/>
      <c r="M34" s="3"/>
      <c r="N34" s="4"/>
      <c r="O34" s="5"/>
    </row>
    <row r="35" spans="1:15" x14ac:dyDescent="0.3">
      <c r="A35" s="4">
        <f>_xlfn.STDEV.S(A2:A31)</f>
        <v>4.3667208178743957</v>
      </c>
      <c r="B35" s="4">
        <f>_xlfn.STDEV.S(B2:B31)</f>
        <v>249.65539145534652</v>
      </c>
      <c r="C35" s="4">
        <f>_xlfn.STDEV.S(C2:C31)</f>
        <v>158.19059409660645</v>
      </c>
      <c r="D35" s="4"/>
      <c r="E35" s="3"/>
      <c r="F35" s="2"/>
      <c r="G35" s="3"/>
      <c r="H35" s="3"/>
      <c r="I35" s="3"/>
      <c r="J35" s="2"/>
      <c r="K35" s="3"/>
      <c r="L35" s="3"/>
      <c r="M35" s="3"/>
      <c r="N35" s="4"/>
      <c r="O35" s="5"/>
    </row>
    <row r="36" spans="1:15" x14ac:dyDescent="0.3">
      <c r="A36" s="4"/>
      <c r="B36" s="2"/>
      <c r="C36" s="2"/>
      <c r="D36" s="3"/>
      <c r="E36" s="3"/>
      <c r="F36" s="2"/>
      <c r="G36" s="3"/>
      <c r="H36" s="3"/>
      <c r="I36" s="3"/>
      <c r="J36" s="2"/>
      <c r="K36" s="3"/>
      <c r="L36" s="3"/>
      <c r="M36" s="3"/>
      <c r="N36" s="4"/>
      <c r="O36" s="5"/>
    </row>
    <row r="37" spans="1:15" x14ac:dyDescent="0.3">
      <c r="A37" s="4"/>
      <c r="B37" s="2"/>
      <c r="C37" s="2"/>
      <c r="D37" s="3"/>
      <c r="E37" s="3"/>
      <c r="F37" s="2"/>
      <c r="G37" s="3"/>
      <c r="H37" s="3"/>
      <c r="I37" s="3"/>
      <c r="J37" s="2"/>
      <c r="K37" s="3"/>
      <c r="L37" s="3"/>
      <c r="M37" s="3"/>
      <c r="N37" s="4"/>
      <c r="O37" s="5"/>
    </row>
    <row r="38" spans="1:15" x14ac:dyDescent="0.3">
      <c r="A38" s="4"/>
      <c r="B38" s="2"/>
      <c r="C38" s="2"/>
      <c r="D38" s="3"/>
      <c r="E38" s="3"/>
      <c r="F38" s="2"/>
      <c r="G38" s="3"/>
      <c r="H38" s="3"/>
      <c r="I38" s="3"/>
      <c r="J38" s="2"/>
      <c r="K38" s="3"/>
      <c r="L38" s="3"/>
      <c r="M38" s="3"/>
      <c r="N38" s="4"/>
      <c r="O38" s="5"/>
    </row>
    <row r="39" spans="1:15" x14ac:dyDescent="0.3">
      <c r="A39" s="4"/>
      <c r="B39" s="2"/>
      <c r="C39" s="2"/>
      <c r="D39" s="3"/>
      <c r="E39" s="3"/>
      <c r="F39" s="2"/>
      <c r="G39" s="3"/>
      <c r="H39" s="3"/>
      <c r="I39" s="3"/>
      <c r="J39" s="2"/>
      <c r="K39" s="3"/>
      <c r="L39" s="3"/>
      <c r="M39" s="3"/>
      <c r="N39" s="4"/>
      <c r="O39" s="5"/>
    </row>
    <row r="40" spans="1:15" x14ac:dyDescent="0.3">
      <c r="A40" s="4"/>
      <c r="B40" s="2"/>
      <c r="C40" s="2"/>
      <c r="D40" s="3"/>
      <c r="E40" s="3"/>
      <c r="F40" s="2"/>
      <c r="G40" s="3"/>
      <c r="H40" s="3"/>
      <c r="I40" s="3"/>
      <c r="J40" s="2"/>
      <c r="K40" s="3"/>
      <c r="L40" s="3"/>
      <c r="M40" s="3"/>
      <c r="N40" s="4"/>
      <c r="O40" s="5"/>
    </row>
    <row r="41" spans="1:15" x14ac:dyDescent="0.3">
      <c r="A41" s="4"/>
      <c r="B41" s="2"/>
      <c r="C41" s="2"/>
      <c r="D41" s="3"/>
      <c r="E41" s="3"/>
      <c r="F41" s="2"/>
      <c r="G41" s="3"/>
      <c r="H41" s="3"/>
      <c r="I41" s="3"/>
      <c r="J41" s="2"/>
      <c r="K41" s="3"/>
      <c r="L41" s="3"/>
      <c r="M41" s="3"/>
      <c r="N41" s="4"/>
      <c r="O41" s="5"/>
    </row>
    <row r="42" spans="1:15" x14ac:dyDescent="0.3">
      <c r="A42" s="4"/>
      <c r="B42" s="2"/>
      <c r="C42" s="2"/>
      <c r="D42" s="3"/>
      <c r="E42" s="3"/>
      <c r="F42" s="2"/>
      <c r="G42" s="3"/>
      <c r="H42" s="3"/>
      <c r="I42" s="3"/>
      <c r="J42" s="2"/>
      <c r="K42" s="3"/>
      <c r="L42" s="3"/>
      <c r="M42" s="3"/>
      <c r="N42" s="4"/>
      <c r="O42" s="5"/>
    </row>
    <row r="43" spans="1:15" x14ac:dyDescent="0.3">
      <c r="A43" s="4"/>
      <c r="B43" s="2"/>
      <c r="C43" s="2"/>
      <c r="D43" s="3"/>
      <c r="E43" s="3"/>
      <c r="F43" s="2"/>
      <c r="G43" s="3"/>
      <c r="H43" s="3"/>
      <c r="I43" s="3"/>
      <c r="J43" s="2"/>
      <c r="K43" s="3"/>
      <c r="L43" s="3"/>
      <c r="M43" s="3"/>
      <c r="N43" s="4"/>
      <c r="O43" s="5"/>
    </row>
    <row r="44" spans="1:15" x14ac:dyDescent="0.3">
      <c r="A44" s="4"/>
      <c r="B44" s="2"/>
      <c r="C44" s="2"/>
      <c r="D44" s="3"/>
      <c r="E44" s="3"/>
      <c r="F44" s="2"/>
      <c r="G44" s="3"/>
      <c r="H44" s="3"/>
      <c r="I44" s="3"/>
      <c r="J44" s="2"/>
      <c r="K44" s="3"/>
      <c r="L44" s="3"/>
      <c r="M44" s="3"/>
      <c r="N44" s="4"/>
      <c r="O44" s="5"/>
    </row>
    <row r="45" spans="1:15" x14ac:dyDescent="0.3">
      <c r="A45" s="4"/>
      <c r="B45" s="2"/>
      <c r="C45" s="2"/>
      <c r="D45" s="3"/>
      <c r="E45" s="3"/>
      <c r="F45" s="2"/>
      <c r="G45" s="3"/>
      <c r="H45" s="3"/>
      <c r="I45" s="6"/>
      <c r="J45" s="2"/>
      <c r="K45" s="3"/>
      <c r="L45" s="3"/>
      <c r="M45" s="3"/>
      <c r="N45" s="4"/>
      <c r="O45" s="5"/>
    </row>
    <row r="46" spans="1:15" x14ac:dyDescent="0.3">
      <c r="A46" s="4"/>
      <c r="B46" s="2"/>
      <c r="C46" s="2"/>
      <c r="D46" s="3"/>
      <c r="E46" s="3"/>
      <c r="F46" s="2"/>
      <c r="G46" s="3"/>
      <c r="H46" s="3"/>
      <c r="I46" s="3"/>
      <c r="J46" s="2"/>
      <c r="K46" s="3"/>
      <c r="L46" s="3"/>
      <c r="M46" s="3"/>
      <c r="N46" s="4"/>
      <c r="O46" s="5"/>
    </row>
    <row r="47" spans="1:15" x14ac:dyDescent="0.3">
      <c r="A47" s="4"/>
      <c r="B47" s="2"/>
      <c r="C47" s="2"/>
      <c r="D47" s="3"/>
      <c r="E47" s="3"/>
      <c r="F47" s="2"/>
      <c r="G47" s="3"/>
      <c r="H47" s="3"/>
      <c r="I47" s="3"/>
      <c r="J47" s="2"/>
      <c r="K47" s="3"/>
      <c r="L47" s="3"/>
      <c r="M47" s="3"/>
      <c r="N47" s="4"/>
      <c r="O47" s="5"/>
    </row>
    <row r="48" spans="1:15" x14ac:dyDescent="0.3">
      <c r="A48" s="4"/>
      <c r="B48" s="2"/>
      <c r="C48" s="2"/>
      <c r="D48" s="3"/>
      <c r="E48" s="3"/>
      <c r="F48" s="2"/>
      <c r="G48" s="3"/>
      <c r="H48" s="3"/>
      <c r="I48" s="6"/>
      <c r="J48" s="2"/>
      <c r="K48" s="3"/>
      <c r="L48" s="3"/>
      <c r="M48" s="3"/>
      <c r="N48" s="4"/>
      <c r="O48" s="5"/>
    </row>
    <row r="49" spans="1:15" x14ac:dyDescent="0.3">
      <c r="A49" s="4"/>
      <c r="B49" s="2"/>
      <c r="C49" s="2"/>
      <c r="D49" s="3"/>
      <c r="E49" s="3"/>
      <c r="F49" s="2"/>
      <c r="G49" s="3"/>
      <c r="H49" s="3"/>
      <c r="I49" s="3"/>
      <c r="J49" s="2"/>
      <c r="K49" s="3"/>
      <c r="L49" s="3"/>
      <c r="M49" s="3"/>
      <c r="N49" s="4"/>
      <c r="O49" s="5"/>
    </row>
    <row r="50" spans="1:15" x14ac:dyDescent="0.3">
      <c r="A50" s="4"/>
      <c r="B50" s="2"/>
      <c r="C50" s="2"/>
      <c r="D50" s="3"/>
      <c r="E50" s="3"/>
      <c r="F50" s="2"/>
      <c r="G50" s="3"/>
      <c r="H50" s="3"/>
      <c r="I50" s="6"/>
      <c r="J50" s="2"/>
      <c r="K50" s="3"/>
      <c r="L50" s="3"/>
      <c r="M50" s="3"/>
      <c r="N50" s="4"/>
      <c r="O50" s="5"/>
    </row>
    <row r="51" spans="1:15" x14ac:dyDescent="0.3">
      <c r="A51" s="4"/>
      <c r="B51" s="2"/>
      <c r="C51" s="2"/>
      <c r="D51" s="3"/>
      <c r="E51" s="3"/>
      <c r="F51" s="2"/>
      <c r="G51" s="3"/>
      <c r="H51" s="3"/>
      <c r="I51" s="3"/>
      <c r="J51" s="2"/>
      <c r="K51" s="3"/>
      <c r="L51" s="3"/>
      <c r="M51" s="3"/>
      <c r="N51" s="4"/>
      <c r="O51" s="5"/>
    </row>
    <row r="52" spans="1:15" x14ac:dyDescent="0.3">
      <c r="A52" s="4"/>
      <c r="B52" s="2"/>
      <c r="C52" s="2"/>
      <c r="D52" s="3"/>
      <c r="E52" s="3"/>
      <c r="F52" s="2"/>
      <c r="G52" s="3"/>
      <c r="H52" s="3"/>
      <c r="I52" s="3"/>
      <c r="J52" s="2"/>
      <c r="K52" s="3"/>
      <c r="L52" s="3"/>
      <c r="M52" s="3"/>
      <c r="N52" s="4"/>
      <c r="O52" s="5"/>
    </row>
    <row r="53" spans="1:15" x14ac:dyDescent="0.3">
      <c r="A53" s="4"/>
      <c r="B53" s="2"/>
      <c r="C53" s="2"/>
      <c r="D53" s="3"/>
      <c r="E53" s="3"/>
      <c r="F53" s="2"/>
      <c r="G53" s="3"/>
      <c r="H53" s="3"/>
      <c r="I53" s="3"/>
      <c r="J53" s="2"/>
      <c r="K53" s="3"/>
      <c r="L53" s="3"/>
      <c r="M53" s="3"/>
      <c r="N53" s="4"/>
      <c r="O53" s="5"/>
    </row>
    <row r="54" spans="1:15" x14ac:dyDescent="0.3">
      <c r="A54" s="4"/>
      <c r="B54" s="2"/>
      <c r="C54" s="2"/>
      <c r="D54" s="3"/>
      <c r="E54" s="3"/>
      <c r="F54" s="2"/>
      <c r="G54" s="3"/>
      <c r="H54" s="3"/>
      <c r="I54" s="3"/>
      <c r="J54" s="2"/>
      <c r="K54" s="3"/>
      <c r="L54" s="3"/>
      <c r="M54" s="3"/>
      <c r="N54" s="4"/>
      <c r="O54" s="5"/>
    </row>
    <row r="55" spans="1:15" x14ac:dyDescent="0.3">
      <c r="A55" s="4"/>
      <c r="B55" s="2"/>
      <c r="C55" s="2"/>
      <c r="D55" s="3"/>
      <c r="E55" s="3"/>
      <c r="F55" s="2"/>
      <c r="G55" s="3"/>
      <c r="H55" s="3"/>
      <c r="I55" s="6"/>
      <c r="J55" s="2"/>
      <c r="K55" s="3"/>
      <c r="L55" s="3"/>
      <c r="M55" s="3"/>
      <c r="N55" s="4"/>
      <c r="O55" s="5"/>
    </row>
    <row r="56" spans="1:15" x14ac:dyDescent="0.3">
      <c r="A56" s="4"/>
      <c r="B56" s="2"/>
      <c r="C56" s="2"/>
      <c r="D56" s="3"/>
      <c r="E56" s="3"/>
      <c r="F56" s="2"/>
      <c r="G56" s="3"/>
      <c r="H56" s="3"/>
      <c r="I56" s="3"/>
      <c r="J56" s="2"/>
      <c r="K56" s="3"/>
      <c r="L56" s="3"/>
      <c r="M56" s="3"/>
      <c r="N56" s="4"/>
      <c r="O56" s="5"/>
    </row>
    <row r="57" spans="1:15" x14ac:dyDescent="0.3">
      <c r="A57" s="4"/>
      <c r="B57" s="2"/>
      <c r="C57" s="2"/>
      <c r="D57" s="3"/>
      <c r="E57" s="3"/>
      <c r="F57" s="2"/>
      <c r="G57" s="3"/>
      <c r="H57" s="3"/>
      <c r="I57" s="6"/>
      <c r="J57" s="2"/>
      <c r="K57" s="3"/>
      <c r="L57" s="3"/>
      <c r="M57" s="3"/>
      <c r="N57" s="4"/>
      <c r="O57" s="5"/>
    </row>
    <row r="58" spans="1:15" x14ac:dyDescent="0.3">
      <c r="A58" s="4"/>
      <c r="B58" s="2"/>
      <c r="C58" s="2"/>
      <c r="D58" s="3"/>
      <c r="E58" s="3"/>
      <c r="F58" s="2"/>
      <c r="G58" s="3"/>
      <c r="H58" s="3"/>
      <c r="I58" s="3"/>
      <c r="J58" s="2"/>
      <c r="K58" s="3"/>
      <c r="L58" s="3"/>
      <c r="M58" s="3"/>
      <c r="N58" s="4"/>
      <c r="O58" s="5"/>
    </row>
    <row r="59" spans="1:15" x14ac:dyDescent="0.3">
      <c r="A59" s="4"/>
      <c r="B59" s="2"/>
      <c r="C59" s="2"/>
      <c r="D59" s="3"/>
      <c r="E59" s="3"/>
      <c r="F59" s="2"/>
      <c r="G59" s="3"/>
      <c r="H59" s="3"/>
      <c r="I59" s="3"/>
      <c r="J59" s="2"/>
      <c r="K59" s="3"/>
      <c r="L59" s="3"/>
      <c r="M59" s="3"/>
      <c r="N59" s="4"/>
      <c r="O59" s="5"/>
    </row>
    <row r="60" spans="1:15" x14ac:dyDescent="0.3">
      <c r="A60" s="4"/>
      <c r="B60" s="2"/>
      <c r="C60" s="2"/>
      <c r="D60" s="3"/>
      <c r="E60" s="3"/>
      <c r="F60" s="2"/>
      <c r="G60" s="3"/>
      <c r="H60" s="3"/>
      <c r="I60" s="3"/>
      <c r="J60" s="2"/>
      <c r="K60" s="3"/>
      <c r="L60" s="3"/>
      <c r="M60" s="3"/>
      <c r="N60" s="4"/>
      <c r="O60" s="5"/>
    </row>
    <row r="61" spans="1:15" x14ac:dyDescent="0.3">
      <c r="A61" s="4"/>
      <c r="B61" s="2"/>
      <c r="C61" s="2"/>
      <c r="D61" s="3"/>
      <c r="E61" s="3"/>
      <c r="F61" s="2"/>
      <c r="G61" s="3"/>
      <c r="H61" s="3"/>
      <c r="I61" s="3"/>
      <c r="J61" s="2"/>
      <c r="K61" s="3"/>
      <c r="L61" s="3"/>
      <c r="M61" s="3"/>
      <c r="N61" s="4"/>
      <c r="O61" s="5"/>
    </row>
    <row r="62" spans="1:15" x14ac:dyDescent="0.3">
      <c r="A62" s="4"/>
      <c r="B62" s="2"/>
      <c r="C62" s="2"/>
      <c r="D62" s="3"/>
      <c r="E62" s="3"/>
      <c r="F62" s="2"/>
      <c r="G62" s="3"/>
      <c r="H62" s="3"/>
      <c r="I62" s="6"/>
      <c r="J62" s="2"/>
      <c r="K62" s="3"/>
      <c r="L62" s="3"/>
      <c r="M62" s="3"/>
      <c r="N62" s="4"/>
      <c r="O62" s="5"/>
    </row>
    <row r="63" spans="1:15" x14ac:dyDescent="0.3">
      <c r="A63" s="4"/>
      <c r="B63" s="2"/>
      <c r="C63" s="2"/>
      <c r="D63" s="3"/>
      <c r="E63" s="3"/>
      <c r="F63" s="2"/>
      <c r="G63" s="3"/>
      <c r="H63" s="3"/>
      <c r="I63" s="3"/>
      <c r="J63" s="2"/>
      <c r="K63" s="3"/>
      <c r="L63" s="3"/>
      <c r="M63" s="3"/>
      <c r="N63" s="4"/>
      <c r="O63" s="5"/>
    </row>
    <row r="64" spans="1:15" x14ac:dyDescent="0.3">
      <c r="A64" s="4"/>
      <c r="B64" s="2"/>
      <c r="C64" s="2"/>
      <c r="D64" s="3"/>
      <c r="E64" s="3"/>
      <c r="F64" s="2"/>
      <c r="G64" s="3"/>
      <c r="H64" s="3"/>
      <c r="I64" s="3"/>
      <c r="J64" s="2"/>
      <c r="K64" s="3"/>
      <c r="L64" s="3"/>
      <c r="M64" s="3"/>
      <c r="N64" s="4"/>
      <c r="O64" s="5"/>
    </row>
    <row r="65" spans="1:15" x14ac:dyDescent="0.3">
      <c r="A65" s="4"/>
      <c r="B65" s="2"/>
      <c r="C65" s="2"/>
      <c r="D65" s="3"/>
      <c r="E65" s="3"/>
      <c r="F65" s="2"/>
      <c r="G65" s="3"/>
      <c r="H65" s="3"/>
      <c r="I65" s="3"/>
      <c r="J65" s="2"/>
      <c r="K65" s="3"/>
      <c r="L65" s="3"/>
      <c r="M65" s="3"/>
      <c r="N65" s="4"/>
      <c r="O65" s="5"/>
    </row>
    <row r="66" spans="1:15" x14ac:dyDescent="0.3">
      <c r="A66" s="4"/>
      <c r="B66" s="2"/>
      <c r="C66" s="2"/>
      <c r="D66" s="3"/>
      <c r="E66" s="3"/>
      <c r="F66" s="2"/>
      <c r="G66" s="3"/>
      <c r="H66" s="3"/>
      <c r="I66" s="3"/>
      <c r="J66" s="2"/>
      <c r="K66" s="3"/>
      <c r="L66" s="3"/>
      <c r="M66" s="3"/>
      <c r="N66" s="4"/>
      <c r="O66" s="5"/>
    </row>
    <row r="67" spans="1:15" x14ac:dyDescent="0.3">
      <c r="A67" s="4"/>
      <c r="B67" s="2"/>
      <c r="C67" s="2"/>
      <c r="D67" s="3"/>
      <c r="E67" s="3"/>
      <c r="F67" s="2"/>
      <c r="G67" s="3"/>
      <c r="H67" s="3"/>
      <c r="I67" s="3"/>
      <c r="J67" s="2"/>
      <c r="K67" s="3"/>
      <c r="L67" s="3"/>
      <c r="M67" s="3"/>
      <c r="N67" s="4"/>
      <c r="O67" s="5"/>
    </row>
    <row r="68" spans="1:15" x14ac:dyDescent="0.3">
      <c r="A68" s="4"/>
      <c r="B68" s="2"/>
      <c r="C68" s="2"/>
      <c r="D68" s="3"/>
      <c r="E68" s="3"/>
      <c r="F68" s="2"/>
      <c r="G68" s="3"/>
      <c r="H68" s="3"/>
      <c r="I68" s="6"/>
      <c r="J68" s="2"/>
      <c r="K68" s="3"/>
      <c r="L68" s="3"/>
      <c r="M68" s="3"/>
      <c r="N68" s="4"/>
      <c r="O68" s="5"/>
    </row>
    <row r="69" spans="1:15" x14ac:dyDescent="0.3">
      <c r="A69" s="4"/>
      <c r="B69" s="2"/>
      <c r="C69" s="2"/>
      <c r="D69" s="3"/>
      <c r="E69" s="3"/>
      <c r="F69" s="2"/>
      <c r="G69" s="3"/>
      <c r="H69" s="3"/>
      <c r="I69" s="3"/>
      <c r="J69" s="2"/>
      <c r="K69" s="3"/>
      <c r="L69" s="3"/>
      <c r="M69" s="3"/>
      <c r="N69" s="4"/>
      <c r="O69" s="5"/>
    </row>
    <row r="70" spans="1:15" x14ac:dyDescent="0.3">
      <c r="A70" s="4"/>
      <c r="B70" s="2"/>
      <c r="C70" s="2"/>
      <c r="D70" s="3"/>
      <c r="E70" s="3"/>
      <c r="F70" s="2"/>
      <c r="G70" s="3"/>
      <c r="H70" s="3"/>
      <c r="I70" s="3"/>
      <c r="J70" s="2"/>
      <c r="K70" s="3"/>
      <c r="L70" s="3"/>
      <c r="M70" s="3"/>
      <c r="N70" s="4"/>
      <c r="O70" s="5"/>
    </row>
    <row r="71" spans="1:15" x14ac:dyDescent="0.3">
      <c r="A71" s="4"/>
      <c r="B71" s="2"/>
      <c r="C71" s="2"/>
      <c r="D71" s="3"/>
      <c r="E71" s="3"/>
      <c r="F71" s="2"/>
      <c r="G71" s="3"/>
      <c r="H71" s="3"/>
      <c r="I71" s="3"/>
      <c r="J71" s="2"/>
      <c r="K71" s="3"/>
      <c r="L71" s="3"/>
      <c r="M71" s="3"/>
      <c r="N71" s="4"/>
      <c r="O71" s="5"/>
    </row>
    <row r="72" spans="1:15" x14ac:dyDescent="0.3">
      <c r="A72" s="4"/>
      <c r="B72" s="2"/>
      <c r="C72" s="2"/>
      <c r="D72" s="3"/>
      <c r="E72" s="3"/>
      <c r="F72" s="2"/>
      <c r="G72" s="3"/>
      <c r="H72" s="3"/>
      <c r="I72" s="6"/>
      <c r="J72" s="2"/>
      <c r="K72" s="3"/>
      <c r="L72" s="3"/>
      <c r="M72" s="3"/>
      <c r="N72" s="4"/>
      <c r="O72" s="5"/>
    </row>
    <row r="73" spans="1:15" x14ac:dyDescent="0.3">
      <c r="A73" s="4"/>
      <c r="B73" s="2"/>
      <c r="C73" s="2"/>
      <c r="D73" s="3"/>
      <c r="E73" s="3"/>
      <c r="F73" s="2"/>
      <c r="G73" s="3"/>
      <c r="H73" s="3"/>
      <c r="I73" s="3"/>
      <c r="J73" s="2"/>
      <c r="K73" s="3"/>
      <c r="L73" s="3"/>
      <c r="M73" s="3"/>
      <c r="N73" s="4"/>
      <c r="O73" s="5"/>
    </row>
    <row r="74" spans="1:15" x14ac:dyDescent="0.3">
      <c r="A74" s="4"/>
      <c r="B74" s="2"/>
      <c r="C74" s="2"/>
      <c r="D74" s="3"/>
      <c r="E74" s="6"/>
      <c r="F74" s="2"/>
      <c r="G74" s="3"/>
      <c r="H74" s="3"/>
      <c r="I74" s="3"/>
      <c r="J74" s="2"/>
      <c r="K74" s="3"/>
      <c r="L74" s="3"/>
      <c r="M74" s="3"/>
      <c r="N74" s="4"/>
      <c r="O7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Off</vt:lpstr>
      <vt:lpstr>415 nm</vt:lpstr>
      <vt:lpstr>255 nm</vt:lpstr>
      <vt:lpstr>470 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Matin Jafari</dc:creator>
  <cp:lastModifiedBy>Matin Jafari</cp:lastModifiedBy>
  <dcterms:created xsi:type="dcterms:W3CDTF">2026-10-08T19:30:57Z</dcterms:created>
  <dcterms:modified xsi:type="dcterms:W3CDTF">2026-10-08T19:33:01Z</dcterms:modified>
</cp:coreProperties>
</file>
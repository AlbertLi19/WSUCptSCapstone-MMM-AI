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Publications\2023_BC_Kolsky\Data\Kolsky\"/>
    </mc:Choice>
  </mc:AlternateContent>
  <xr:revisionPtr revIDLastSave="14" documentId="13_ncr:1_{BD578831-B333-49D8-B1AB-663230129F71}" xr6:coauthVersionLast="47" xr6:coauthVersionMax="47" xr10:uidLastSave="{78EB2594-8F9E-41DA-A9A5-16E65889502A}"/>
  <bookViews>
    <workbookView xWindow="-90" yWindow="-90" windowWidth="19380" windowHeight="10380" firstSheet="1" activeTab="1" xr2:uid="{576C8125-10AA-4AAF-B3C7-8919E1740CFD}"/>
  </bookViews>
  <sheets>
    <sheet name="All" sheetId="1" r:id="rId1"/>
    <sheet name="Used for analysi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H9" i="3"/>
  <c r="I10" i="3"/>
  <c r="H10" i="3"/>
</calcChain>
</file>

<file path=xl/sharedStrings.xml><?xml version="1.0" encoding="utf-8"?>
<sst xmlns="http://schemas.openxmlformats.org/spreadsheetml/2006/main" count="391" uniqueCount="94">
  <si>
    <t>PBC_NFC_090920b_IP_03</t>
  </si>
  <si>
    <t>090920b_IP</t>
  </si>
  <si>
    <t>IP</t>
  </si>
  <si>
    <t>Force balance issue</t>
  </si>
  <si>
    <t>PBC_NFC_090920b_IP_04</t>
  </si>
  <si>
    <t>PBC_NFC_090920b_IP_05</t>
  </si>
  <si>
    <t>5.12, 6.33</t>
  </si>
  <si>
    <t>Double failure, Force balance issue</t>
  </si>
  <si>
    <t>PBC_NFC_090920b_IP_01</t>
  </si>
  <si>
    <t>NA</t>
  </si>
  <si>
    <t>DAQ trigger issue, Signals not recorded</t>
  </si>
  <si>
    <t>PBC_NFC_090920b_IP_06_100mm_36psi</t>
  </si>
  <si>
    <t>4.12, 4.44</t>
  </si>
  <si>
    <t>PBC_NFC_090920b_IP_07_100mm_36psi</t>
  </si>
  <si>
    <t>3.56, 5.42</t>
  </si>
  <si>
    <t>PBC_NFC_090920b_IP_08_100mm_36psi</t>
  </si>
  <si>
    <t>Small double failure, Force balance issue</t>
  </si>
  <si>
    <t>PBC_NFC_090920b_IP_10_100mm_36psi</t>
  </si>
  <si>
    <t>PBC_NFC_090920b_S1_IP_02_100mm_36psi_PS</t>
  </si>
  <si>
    <t>PBC_NFC_090920b_IP_09</t>
  </si>
  <si>
    <t>Uncertain about gage locations, Force balance issue</t>
  </si>
  <si>
    <t>PBC_NFC_090920b_TP_01_100mm_38psi</t>
  </si>
  <si>
    <t>090920b_TP</t>
  </si>
  <si>
    <t>TP</t>
  </si>
  <si>
    <t>PBC_NFC_090920b_TP_02_100mm_38psi</t>
  </si>
  <si>
    <t>PBC_NFC_090920b_TP_03_100mm_36psi</t>
  </si>
  <si>
    <t>Triple failure, Foce balance issue</t>
  </si>
  <si>
    <t>PBC_NFC_090920b_TP_04_100mm_36psi</t>
  </si>
  <si>
    <t>Decent video,  Foce balance issue</t>
  </si>
  <si>
    <t>PBC_NFC_090920b_TP_05_100mm_36psi</t>
  </si>
  <si>
    <t>Delayed failure,  Foce balance issue</t>
  </si>
  <si>
    <t>PBC_NFC_090920b_TP_06_100mm_36psi</t>
  </si>
  <si>
    <t>3.47, 3.97</t>
  </si>
  <si>
    <t>PBC_NFC_090920b_TP_07_100mm_36psi</t>
  </si>
  <si>
    <t>3.26, 4.32</t>
  </si>
  <si>
    <t>PBC_NFC_090920b_TP_08_100mm_36psi_PS</t>
  </si>
  <si>
    <t>PBC_NFC_090920b_TP_09</t>
  </si>
  <si>
    <t>Uncertain about gage locations, Partial failure</t>
  </si>
  <si>
    <t>PBC_NFC_090920b_TP_12</t>
  </si>
  <si>
    <t>No transmitted pulse</t>
  </si>
  <si>
    <t>PBC_61620A_IP_01_100mm_Projectile_30psi</t>
  </si>
  <si>
    <t>61620A_IP</t>
  </si>
  <si>
    <t>Force balance issue, no cam sync signal, uncertain about gage factor</t>
  </si>
  <si>
    <t>PBC_61620A_IP_02_100mm_Projectile_30psi</t>
  </si>
  <si>
    <t>PBC_61620A_IP_03_100mm_Projectile_30psi</t>
  </si>
  <si>
    <t>PBC_61620A_TP_03_100mm_Projectile_30psi</t>
  </si>
  <si>
    <t>PBC_61620A_TP_04_100mm_36psi</t>
  </si>
  <si>
    <t>61620A_TP</t>
  </si>
  <si>
    <t>PBC_61620A_TP_01_100mm_Projectile_30psi</t>
  </si>
  <si>
    <t>2.91, 3.4</t>
  </si>
  <si>
    <t>Double failure, Force balance issue, no cam sync signal, uncertain about gage factor</t>
  </si>
  <si>
    <t>PBC_61620A_TP_02_100mm_Projectile_30psi</t>
  </si>
  <si>
    <t>PBC_61620B_IP_01_100mm_Projectile_30psi</t>
  </si>
  <si>
    <t>61620B_IP</t>
  </si>
  <si>
    <t>Chipped specimen, Failure more gradual and not imaged, Force balance issue, no cam sync signal, uncertain about gage factor</t>
  </si>
  <si>
    <t>PBC_61620B_IP_02_100mm_Projectile_37psi</t>
  </si>
  <si>
    <t>PBC_61620B_IP_03_100mm_Projectile_37psi</t>
  </si>
  <si>
    <t>PBC_61620B_TP_01_100mm_Projectile_37psi</t>
  </si>
  <si>
    <t>61620B_TP</t>
  </si>
  <si>
    <t>Gage failure (reflected pulse partially recorded), Force balance issue, no cam sync signal, uncertain about gage factor</t>
  </si>
  <si>
    <t>PBC_61620B_TP_02_100mm_Projectile_30psi</t>
  </si>
  <si>
    <t>PBC_61620B_TP_03_100mm_Projectile_30psi</t>
  </si>
  <si>
    <t xml:space="preserve"> Failure more gradual and not imaged, Force balance issue, no cam sync signal, uncertain about gage factor</t>
  </si>
  <si>
    <t>PBC_63020A_IP_01_100mm_Projectile_30psi</t>
  </si>
  <si>
    <t>63020A_IP</t>
  </si>
  <si>
    <t>PBC_63020A_IP_02_100mm_Projectile_37psi</t>
  </si>
  <si>
    <t>Decent video, Force balance issue, no cam sync signal, uncertain about gage factor</t>
  </si>
  <si>
    <t>PBC_63020A_IP_03_100mm_Projectile_37psi</t>
  </si>
  <si>
    <t>PBC_63020A_TP_01_100mm_Projectile_37psi</t>
  </si>
  <si>
    <t>63020A_TP</t>
  </si>
  <si>
    <t>PBC_63020A_TP_02_100mm_Projectile_37psi</t>
  </si>
  <si>
    <t>PBC_63020A_TP_03_100mm_Projectile_30psi</t>
  </si>
  <si>
    <t>PBC_63020B_IP_08_100mm_36psi_PS</t>
  </si>
  <si>
    <t>63020B_IP</t>
  </si>
  <si>
    <t>PBC_63020B_IP_01_100mm_Projectile_37psi</t>
  </si>
  <si>
    <t>PBC_63020B_IP_02_100mm_Projectile_30psi</t>
  </si>
  <si>
    <t>PBC_63020B_IP_03_100mm_Projectile_30psi</t>
  </si>
  <si>
    <t>PBC_63020B_TP_10_100mm_36psi_PS</t>
  </si>
  <si>
    <t>63020B_TP</t>
  </si>
  <si>
    <t>Polished specimen dimensions not recorded, Force balance issue</t>
  </si>
  <si>
    <t>PBC_63020B_TP_08_100mm_36psi_PS</t>
  </si>
  <si>
    <t>PBC_63020B_TP_01_100mm_Projectile_37psi</t>
  </si>
  <si>
    <t>PBC_63020B_TP_02_100mm_Projectile_30psi</t>
  </si>
  <si>
    <t>PBC_63020B_TP_03_100mm_Projectile_30psi</t>
  </si>
  <si>
    <t>PAD</t>
  </si>
  <si>
    <t>Date</t>
  </si>
  <si>
    <t>Sample name</t>
  </si>
  <si>
    <t>Sample orientation</t>
  </si>
  <si>
    <t>Dyanmic strength</t>
  </si>
  <si>
    <t>Peak stress</t>
  </si>
  <si>
    <t>Strain rate</t>
  </si>
  <si>
    <t>Stress rate</t>
  </si>
  <si>
    <t>Average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</si>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</sst>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1" xfId="0" applyNumberFormat="1" applyBorder="1"/>
    <xf numFmtId="0" fontId="0" fillId="0" borderId="2" xfId="0" applyBorder="1"/>
    <xf numFmtId="14" fontId="0" fillId="0" borderId="3" xfId="0" applyNumberFormat="1" applyBorder="1"/>
    <xf numFmtId="14" fontId="0" fillId="0" borderId="4" xfId="0" applyNumberFormat="1" applyBorder="1"/>
    <xf numFmtId="0" fontId="0" fillId="0" borderId="5" xfId="0" applyBorder="1"/>
    <xf numFmtId="14" fontId="0" fillId="0" borderId="6" xfId="0" applyNumberFormat="1" applyBorder="1"/>
    <xf numFmtId="0" fontId="0" fillId="0" borderId="6" xfId="0" applyBorder="1"/>
    <xf numFmtId="164" fontId="0" fillId="0" borderId="0" xfId="0" applyNumberFormat="1"/>
    <xf numFmtId="0" fontId="1" fillId="0" borderId="0" xfId="0" applyFont="1"/>
    <xf numFmtId="0" fontId="0" fillId="2" borderId="2" xfId="0" applyFill="1" applyBorder="1"/>
    <xf numFmtId="0" fontId="0" fillId="2" borderId="0" xfId="0" applyFill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B71A-2E65-47AF-A87A-64DD0175D1C1}">
  <dimension ref="A1:K50"/>
  <sheetViews>
    <sheetView zoomScale="55" zoomScaleNormal="55" workbookViewId="0">
      <selection activeCell="B21" sqref="B21"/>
    </sheetView>
  </sheetViews>
  <sheetFormatPr defaultRowHeight="14.85"/>
  <cols>
    <col min="1" max="11" width="8.7109375" style="7"/>
  </cols>
  <sheetData>
    <row r="1" spans="1:11">
      <c r="A1" s="6">
        <v>44442</v>
      </c>
      <c r="B1" s="7" t="s">
        <v>0</v>
      </c>
      <c r="C1" s="7" t="s">
        <v>1</v>
      </c>
      <c r="D1" s="7">
        <v>1</v>
      </c>
      <c r="E1" s="7">
        <v>530</v>
      </c>
      <c r="F1" s="7">
        <v>49</v>
      </c>
      <c r="G1" s="7" t="s">
        <v>2</v>
      </c>
      <c r="H1" s="7">
        <v>4</v>
      </c>
      <c r="I1" s="7">
        <v>233</v>
      </c>
      <c r="J1" s="7">
        <v>502</v>
      </c>
      <c r="K1" s="7" t="s">
        <v>3</v>
      </c>
    </row>
    <row r="2" spans="1:11">
      <c r="A2" s="6">
        <v>44442</v>
      </c>
      <c r="B2" s="7" t="s">
        <v>4</v>
      </c>
      <c r="C2" s="7" t="s">
        <v>1</v>
      </c>
      <c r="D2" s="7">
        <v>1</v>
      </c>
      <c r="E2" s="7">
        <v>530</v>
      </c>
      <c r="F2" s="7">
        <v>49</v>
      </c>
      <c r="G2" s="7" t="s">
        <v>2</v>
      </c>
      <c r="H2" s="7">
        <v>5.05</v>
      </c>
      <c r="I2" s="7">
        <v>292</v>
      </c>
      <c r="J2" s="7">
        <v>645</v>
      </c>
      <c r="K2" s="7" t="s">
        <v>3</v>
      </c>
    </row>
    <row r="3" spans="1:11">
      <c r="A3" s="6">
        <v>44442</v>
      </c>
      <c r="B3" s="7" t="s">
        <v>5</v>
      </c>
      <c r="C3" s="7" t="s">
        <v>1</v>
      </c>
      <c r="D3" s="7">
        <v>1</v>
      </c>
      <c r="E3" s="7">
        <v>530</v>
      </c>
      <c r="F3" s="7">
        <v>49</v>
      </c>
      <c r="G3" s="7" t="s">
        <v>2</v>
      </c>
      <c r="H3" s="7" t="s">
        <v>6</v>
      </c>
      <c r="I3" s="7">
        <v>314</v>
      </c>
      <c r="J3" s="7">
        <v>695</v>
      </c>
      <c r="K3" s="7" t="s">
        <v>7</v>
      </c>
    </row>
    <row r="4" spans="1:11">
      <c r="A4" s="6">
        <v>44436</v>
      </c>
      <c r="B4" s="7" t="s">
        <v>8</v>
      </c>
      <c r="C4" s="7" t="s">
        <v>1</v>
      </c>
      <c r="D4" s="7">
        <v>1</v>
      </c>
      <c r="E4" s="7">
        <v>530</v>
      </c>
      <c r="F4" s="7">
        <v>49</v>
      </c>
      <c r="G4" s="7" t="s">
        <v>2</v>
      </c>
      <c r="H4" s="7" t="s">
        <v>9</v>
      </c>
      <c r="I4" s="7" t="s">
        <v>9</v>
      </c>
      <c r="J4" s="7" t="s">
        <v>9</v>
      </c>
      <c r="K4" s="7" t="s">
        <v>10</v>
      </c>
    </row>
    <row r="5" spans="1:11">
      <c r="A5" s="6">
        <v>44482</v>
      </c>
      <c r="B5" s="7" t="s">
        <v>11</v>
      </c>
      <c r="C5" s="7" t="s">
        <v>1</v>
      </c>
      <c r="D5" s="7">
        <v>1</v>
      </c>
      <c r="E5" s="7">
        <v>530</v>
      </c>
      <c r="F5" s="7">
        <v>49</v>
      </c>
      <c r="G5" s="7" t="s">
        <v>2</v>
      </c>
      <c r="H5" s="7" t="s">
        <v>12</v>
      </c>
      <c r="I5" s="7">
        <v>285</v>
      </c>
      <c r="J5" s="7">
        <v>650</v>
      </c>
      <c r="K5" s="7" t="s">
        <v>7</v>
      </c>
    </row>
    <row r="6" spans="1:11">
      <c r="A6" s="6">
        <v>44482</v>
      </c>
      <c r="B6" s="7" t="s">
        <v>13</v>
      </c>
      <c r="C6" s="7" t="s">
        <v>1</v>
      </c>
      <c r="D6" s="7">
        <v>1</v>
      </c>
      <c r="E6" s="7">
        <v>530</v>
      </c>
      <c r="F6" s="7">
        <v>49</v>
      </c>
      <c r="G6" s="7" t="s">
        <v>2</v>
      </c>
      <c r="H6" s="7" t="s">
        <v>14</v>
      </c>
      <c r="I6" s="7">
        <v>256</v>
      </c>
      <c r="J6" s="7">
        <v>591</v>
      </c>
      <c r="K6" s="7" t="s">
        <v>7</v>
      </c>
    </row>
    <row r="7" spans="1:11">
      <c r="A7" s="6">
        <v>44482</v>
      </c>
      <c r="B7" s="7" t="s">
        <v>15</v>
      </c>
      <c r="C7" s="7" t="s">
        <v>1</v>
      </c>
      <c r="D7" s="7">
        <v>1</v>
      </c>
      <c r="E7" s="7">
        <v>530</v>
      </c>
      <c r="F7" s="7">
        <v>49</v>
      </c>
      <c r="G7" s="7" t="s">
        <v>2</v>
      </c>
      <c r="H7" s="7">
        <v>5.68</v>
      </c>
      <c r="I7" s="7">
        <v>234</v>
      </c>
      <c r="J7" s="7">
        <v>505</v>
      </c>
      <c r="K7" s="7" t="s">
        <v>16</v>
      </c>
    </row>
    <row r="8" spans="1:11">
      <c r="A8" s="6">
        <v>44643</v>
      </c>
      <c r="B8" s="7" t="s">
        <v>17</v>
      </c>
      <c r="C8" s="7" t="s">
        <v>1</v>
      </c>
      <c r="D8" s="7">
        <v>1</v>
      </c>
      <c r="E8" s="7">
        <v>530</v>
      </c>
      <c r="F8" s="7">
        <v>49</v>
      </c>
      <c r="G8" s="7" t="s">
        <v>2</v>
      </c>
      <c r="H8" s="7">
        <v>4.7300000000000004</v>
      </c>
      <c r="I8" s="7">
        <v>242</v>
      </c>
      <c r="J8" s="7">
        <v>538</v>
      </c>
      <c r="K8" s="7" t="s">
        <v>3</v>
      </c>
    </row>
    <row r="9" spans="1:11">
      <c r="A9" s="6">
        <v>44746</v>
      </c>
      <c r="B9" s="7" t="s">
        <v>18</v>
      </c>
      <c r="C9" s="7" t="s">
        <v>1</v>
      </c>
      <c r="D9" s="7">
        <v>1</v>
      </c>
      <c r="E9" s="7">
        <v>530</v>
      </c>
      <c r="F9" s="7">
        <v>49</v>
      </c>
      <c r="G9" s="7" t="s">
        <v>2</v>
      </c>
      <c r="H9" s="7">
        <v>4.55</v>
      </c>
      <c r="I9" s="7">
        <v>234</v>
      </c>
      <c r="J9" s="7">
        <v>516</v>
      </c>
      <c r="K9" s="7" t="s">
        <v>3</v>
      </c>
    </row>
    <row r="10" spans="1:11">
      <c r="A10" s="6">
        <v>44511</v>
      </c>
      <c r="B10" s="7" t="s">
        <v>19</v>
      </c>
      <c r="C10" s="7" t="s">
        <v>1</v>
      </c>
      <c r="D10" s="7">
        <v>1</v>
      </c>
      <c r="E10" s="7">
        <v>530</v>
      </c>
      <c r="F10" s="7">
        <v>49</v>
      </c>
      <c r="G10" s="7" t="s">
        <v>2</v>
      </c>
      <c r="H10" s="7">
        <v>4.84</v>
      </c>
      <c r="I10" s="7">
        <v>236</v>
      </c>
      <c r="J10" s="7">
        <v>558</v>
      </c>
      <c r="K10" s="7" t="s">
        <v>20</v>
      </c>
    </row>
    <row r="11" spans="1:11">
      <c r="A11" s="6">
        <v>44450</v>
      </c>
      <c r="B11" s="7" t="s">
        <v>21</v>
      </c>
      <c r="C11" s="7" t="s">
        <v>22</v>
      </c>
      <c r="D11" s="7">
        <v>1.5</v>
      </c>
      <c r="E11" s="7">
        <v>530</v>
      </c>
      <c r="F11" s="7">
        <v>49</v>
      </c>
      <c r="G11" s="7" t="s">
        <v>23</v>
      </c>
      <c r="H11" s="7">
        <v>4.45</v>
      </c>
      <c r="I11" s="7">
        <v>631</v>
      </c>
      <c r="J11" s="7">
        <v>268</v>
      </c>
      <c r="K11" s="7" t="s">
        <v>3</v>
      </c>
    </row>
    <row r="12" spans="1:11">
      <c r="A12" s="6">
        <v>44450</v>
      </c>
      <c r="B12" s="7" t="s">
        <v>24</v>
      </c>
      <c r="C12" s="7" t="s">
        <v>22</v>
      </c>
      <c r="D12" s="7">
        <v>1.5</v>
      </c>
      <c r="E12" s="7">
        <v>530</v>
      </c>
      <c r="F12" s="7">
        <v>49</v>
      </c>
      <c r="G12" s="7" t="s">
        <v>23</v>
      </c>
      <c r="H12" s="7">
        <v>1.85</v>
      </c>
      <c r="I12" s="7">
        <v>143</v>
      </c>
      <c r="J12" s="7">
        <v>338</v>
      </c>
    </row>
    <row r="13" spans="1:11">
      <c r="A13" s="6">
        <v>44480</v>
      </c>
      <c r="B13" s="7" t="s">
        <v>25</v>
      </c>
      <c r="C13" s="7" t="s">
        <v>22</v>
      </c>
      <c r="D13" s="7">
        <v>1.5</v>
      </c>
      <c r="E13" s="7">
        <v>530</v>
      </c>
      <c r="F13" s="7">
        <v>49</v>
      </c>
      <c r="G13" s="7" t="s">
        <v>23</v>
      </c>
      <c r="H13" s="7">
        <v>4.28</v>
      </c>
      <c r="I13" s="7">
        <v>236</v>
      </c>
      <c r="J13" s="7">
        <v>500</v>
      </c>
      <c r="K13" s="7" t="s">
        <v>26</v>
      </c>
    </row>
    <row r="14" spans="1:11">
      <c r="A14" s="6">
        <v>44480</v>
      </c>
      <c r="B14" s="7" t="s">
        <v>27</v>
      </c>
      <c r="C14" s="7" t="s">
        <v>22</v>
      </c>
      <c r="D14" s="7">
        <v>1.5</v>
      </c>
      <c r="E14" s="7">
        <v>530</v>
      </c>
      <c r="F14" s="7">
        <v>49</v>
      </c>
      <c r="G14" s="7" t="s">
        <v>23</v>
      </c>
      <c r="H14" s="7">
        <v>3.64</v>
      </c>
      <c r="I14" s="7">
        <v>219</v>
      </c>
      <c r="J14" s="7">
        <v>500</v>
      </c>
      <c r="K14" s="7" t="s">
        <v>28</v>
      </c>
    </row>
    <row r="15" spans="1:11">
      <c r="A15" s="6">
        <v>44480</v>
      </c>
      <c r="B15" s="7" t="s">
        <v>29</v>
      </c>
      <c r="C15" s="7" t="s">
        <v>22</v>
      </c>
      <c r="D15" s="7">
        <v>1.5</v>
      </c>
      <c r="E15" s="7">
        <v>530</v>
      </c>
      <c r="F15" s="7">
        <v>49</v>
      </c>
      <c r="G15" s="7" t="s">
        <v>23</v>
      </c>
      <c r="H15" s="7">
        <v>5.77</v>
      </c>
      <c r="I15" s="7">
        <v>224</v>
      </c>
      <c r="J15" s="7">
        <v>537</v>
      </c>
      <c r="K15" s="7" t="s">
        <v>30</v>
      </c>
    </row>
    <row r="16" spans="1:11">
      <c r="A16" s="6">
        <v>44481</v>
      </c>
      <c r="B16" s="7" t="s">
        <v>31</v>
      </c>
      <c r="C16" s="7" t="s">
        <v>22</v>
      </c>
      <c r="D16" s="7">
        <v>1.5</v>
      </c>
      <c r="E16" s="7">
        <v>530</v>
      </c>
      <c r="F16" s="7">
        <v>49</v>
      </c>
      <c r="G16" s="7" t="s">
        <v>23</v>
      </c>
      <c r="H16" s="7" t="s">
        <v>32</v>
      </c>
      <c r="I16" s="7">
        <v>260</v>
      </c>
      <c r="J16" s="7">
        <v>455</v>
      </c>
      <c r="K16" s="7" t="s">
        <v>7</v>
      </c>
    </row>
    <row r="17" spans="1:11">
      <c r="A17" s="6">
        <v>44482</v>
      </c>
      <c r="B17" s="7" t="s">
        <v>33</v>
      </c>
      <c r="C17" s="7" t="s">
        <v>22</v>
      </c>
      <c r="D17" s="7">
        <v>1.5</v>
      </c>
      <c r="E17" s="7">
        <v>530</v>
      </c>
      <c r="F17" s="7">
        <v>49</v>
      </c>
      <c r="G17" s="7" t="s">
        <v>23</v>
      </c>
      <c r="H17" s="7" t="s">
        <v>34</v>
      </c>
      <c r="I17" s="7">
        <v>211</v>
      </c>
      <c r="J17" s="7">
        <v>487</v>
      </c>
      <c r="K17" s="7" t="s">
        <v>7</v>
      </c>
    </row>
    <row r="18" spans="1:11">
      <c r="A18" s="6">
        <v>44746</v>
      </c>
      <c r="B18" s="7" t="s">
        <v>35</v>
      </c>
      <c r="C18" s="7" t="s">
        <v>22</v>
      </c>
      <c r="D18" s="7">
        <v>1.5</v>
      </c>
      <c r="E18" s="7">
        <v>530</v>
      </c>
      <c r="F18" s="7">
        <v>49</v>
      </c>
      <c r="G18" s="7" t="s">
        <v>23</v>
      </c>
      <c r="H18" s="7">
        <v>4.91</v>
      </c>
      <c r="I18" s="7">
        <v>248</v>
      </c>
      <c r="J18" s="7">
        <v>554</v>
      </c>
      <c r="K18" s="7" t="s">
        <v>3</v>
      </c>
    </row>
    <row r="19" spans="1:11">
      <c r="A19" s="6">
        <v>44516</v>
      </c>
      <c r="B19" s="7" t="s">
        <v>36</v>
      </c>
      <c r="C19" s="7" t="s">
        <v>22</v>
      </c>
      <c r="D19" s="7">
        <v>1.5</v>
      </c>
      <c r="E19" s="7">
        <v>530</v>
      </c>
      <c r="F19" s="7">
        <v>49</v>
      </c>
      <c r="G19" s="7" t="s">
        <v>23</v>
      </c>
      <c r="H19" s="7">
        <v>5.62</v>
      </c>
      <c r="I19" s="7">
        <v>226</v>
      </c>
      <c r="J19" s="7">
        <v>552</v>
      </c>
      <c r="K19" s="7" t="s">
        <v>37</v>
      </c>
    </row>
    <row r="20" spans="1:11">
      <c r="A20" s="6">
        <v>44516</v>
      </c>
      <c r="B20" s="7" t="s">
        <v>38</v>
      </c>
      <c r="C20" s="7" t="s">
        <v>22</v>
      </c>
      <c r="D20" s="7">
        <v>1.5</v>
      </c>
      <c r="E20" s="7">
        <v>530</v>
      </c>
      <c r="F20" s="7">
        <v>49</v>
      </c>
      <c r="G20" s="7" t="s">
        <v>23</v>
      </c>
      <c r="H20" s="7" t="s">
        <v>9</v>
      </c>
      <c r="I20" s="7" t="s">
        <v>9</v>
      </c>
      <c r="J20" s="7" t="s">
        <v>9</v>
      </c>
      <c r="K20" s="7" t="s">
        <v>39</v>
      </c>
    </row>
    <row r="21" spans="1:11">
      <c r="A21" s="6">
        <v>44229</v>
      </c>
      <c r="B21" s="7" t="s">
        <v>40</v>
      </c>
      <c r="C21" s="7" t="s">
        <v>41</v>
      </c>
      <c r="D21" s="7">
        <v>3</v>
      </c>
      <c r="E21" s="7">
        <v>431</v>
      </c>
      <c r="F21" s="7">
        <v>42</v>
      </c>
      <c r="G21" s="7" t="s">
        <v>2</v>
      </c>
      <c r="H21" s="7">
        <v>3.95</v>
      </c>
      <c r="I21" s="7">
        <v>224</v>
      </c>
      <c r="J21" s="7">
        <v>521</v>
      </c>
      <c r="K21" s="7" t="s">
        <v>42</v>
      </c>
    </row>
    <row r="22" spans="1:11">
      <c r="A22" s="6">
        <v>44229</v>
      </c>
      <c r="B22" s="7" t="s">
        <v>43</v>
      </c>
      <c r="C22" s="7" t="s">
        <v>41</v>
      </c>
      <c r="D22" s="7">
        <v>3</v>
      </c>
      <c r="E22" s="7">
        <v>431</v>
      </c>
      <c r="F22" s="7">
        <v>42</v>
      </c>
      <c r="G22" s="7" t="s">
        <v>2</v>
      </c>
      <c r="H22" s="7">
        <v>3.76</v>
      </c>
      <c r="I22" s="7">
        <v>359</v>
      </c>
      <c r="J22" s="7">
        <v>864</v>
      </c>
      <c r="K22" s="7" t="s">
        <v>42</v>
      </c>
    </row>
    <row r="23" spans="1:11">
      <c r="A23" s="6">
        <v>44230</v>
      </c>
      <c r="B23" s="7" t="s">
        <v>44</v>
      </c>
      <c r="C23" s="7" t="s">
        <v>41</v>
      </c>
      <c r="D23" s="7">
        <v>3</v>
      </c>
      <c r="E23" s="7">
        <v>431</v>
      </c>
      <c r="F23" s="7">
        <v>42</v>
      </c>
      <c r="G23" s="7" t="s">
        <v>2</v>
      </c>
      <c r="H23" s="7">
        <v>3.62</v>
      </c>
      <c r="I23" s="7">
        <v>353</v>
      </c>
      <c r="J23" s="7">
        <v>868</v>
      </c>
      <c r="K23" s="7" t="s">
        <v>42</v>
      </c>
    </row>
    <row r="24" spans="1:11">
      <c r="A24" s="6">
        <v>44232</v>
      </c>
      <c r="B24" s="7" t="s">
        <v>45</v>
      </c>
      <c r="C24" s="7" t="s">
        <v>41</v>
      </c>
      <c r="D24" s="7">
        <v>3</v>
      </c>
      <c r="E24" s="7">
        <v>431</v>
      </c>
      <c r="F24" s="7">
        <v>42</v>
      </c>
      <c r="G24" s="7" t="s">
        <v>2</v>
      </c>
      <c r="H24" s="7">
        <v>3.46</v>
      </c>
      <c r="I24" s="7">
        <v>200</v>
      </c>
      <c r="J24" s="7">
        <v>475</v>
      </c>
      <c r="K24" s="7" t="s">
        <v>42</v>
      </c>
    </row>
    <row r="25" spans="1:11">
      <c r="A25" s="6">
        <v>44482</v>
      </c>
      <c r="B25" s="7" t="s">
        <v>46</v>
      </c>
      <c r="C25" s="7" t="s">
        <v>47</v>
      </c>
      <c r="D25" s="7">
        <v>3.5</v>
      </c>
      <c r="E25" s="7">
        <v>431</v>
      </c>
      <c r="F25" s="7">
        <v>42</v>
      </c>
      <c r="G25" s="7" t="s">
        <v>23</v>
      </c>
      <c r="H25" s="7">
        <v>2.93</v>
      </c>
      <c r="I25" s="7">
        <v>212</v>
      </c>
      <c r="J25" s="7">
        <v>515</v>
      </c>
      <c r="K25" s="7" t="s">
        <v>3</v>
      </c>
    </row>
    <row r="26" spans="1:11">
      <c r="A26" s="6">
        <v>44229</v>
      </c>
      <c r="B26" s="7" t="s">
        <v>48</v>
      </c>
      <c r="C26" s="7" t="s">
        <v>47</v>
      </c>
      <c r="D26" s="7">
        <v>3.5</v>
      </c>
      <c r="E26" s="7">
        <v>431</v>
      </c>
      <c r="F26" s="7">
        <v>42</v>
      </c>
      <c r="G26" s="7" t="s">
        <v>23</v>
      </c>
      <c r="H26" s="7" t="s">
        <v>49</v>
      </c>
      <c r="I26" s="7">
        <v>427</v>
      </c>
      <c r="J26" s="7">
        <v>1013</v>
      </c>
      <c r="K26" s="7" t="s">
        <v>50</v>
      </c>
    </row>
    <row r="27" spans="1:11">
      <c r="A27" s="6">
        <v>44231</v>
      </c>
      <c r="B27" s="7" t="s">
        <v>51</v>
      </c>
      <c r="C27" s="7" t="s">
        <v>47</v>
      </c>
      <c r="D27" s="7">
        <v>3.5</v>
      </c>
      <c r="E27" s="7">
        <v>431</v>
      </c>
      <c r="F27" s="7">
        <v>42</v>
      </c>
      <c r="G27" s="7" t="s">
        <v>23</v>
      </c>
      <c r="H27" s="7">
        <v>2.77</v>
      </c>
      <c r="I27" s="7">
        <v>150</v>
      </c>
      <c r="J27" s="7">
        <v>351</v>
      </c>
      <c r="K27" s="7" t="s">
        <v>42</v>
      </c>
    </row>
    <row r="28" spans="1:11">
      <c r="A28" s="6">
        <v>44231</v>
      </c>
      <c r="B28" s="7" t="s">
        <v>52</v>
      </c>
      <c r="C28" s="7" t="s">
        <v>53</v>
      </c>
      <c r="D28" s="7">
        <v>2</v>
      </c>
      <c r="E28" s="7">
        <v>522</v>
      </c>
      <c r="F28" s="7">
        <v>47</v>
      </c>
      <c r="G28" s="7" t="s">
        <v>2</v>
      </c>
      <c r="H28" s="7">
        <v>5.26</v>
      </c>
      <c r="I28" s="7">
        <v>235</v>
      </c>
      <c r="J28" s="7">
        <v>489</v>
      </c>
      <c r="K28" s="7" t="s">
        <v>54</v>
      </c>
    </row>
    <row r="29" spans="1:11">
      <c r="A29" s="6">
        <v>44231</v>
      </c>
      <c r="B29" s="7" t="s">
        <v>55</v>
      </c>
      <c r="C29" s="7" t="s">
        <v>53</v>
      </c>
      <c r="D29" s="7">
        <v>2</v>
      </c>
      <c r="E29" s="7">
        <v>522</v>
      </c>
      <c r="F29" s="7">
        <v>47</v>
      </c>
      <c r="G29" s="7" t="s">
        <v>2</v>
      </c>
      <c r="H29" s="7">
        <v>5.44</v>
      </c>
      <c r="I29" s="7">
        <v>283</v>
      </c>
      <c r="J29" s="7">
        <v>590</v>
      </c>
      <c r="K29" s="7" t="s">
        <v>42</v>
      </c>
    </row>
    <row r="30" spans="1:11">
      <c r="A30" s="6">
        <v>44231</v>
      </c>
      <c r="B30" s="7" t="s">
        <v>56</v>
      </c>
      <c r="C30" s="7" t="s">
        <v>53</v>
      </c>
      <c r="D30" s="7">
        <v>2</v>
      </c>
      <c r="E30" s="7">
        <v>522</v>
      </c>
      <c r="F30" s="7">
        <v>47</v>
      </c>
      <c r="G30" s="7" t="s">
        <v>2</v>
      </c>
      <c r="H30" s="7">
        <v>4.51</v>
      </c>
      <c r="I30" s="7">
        <v>258</v>
      </c>
      <c r="J30" s="7">
        <v>510</v>
      </c>
      <c r="K30" s="7" t="s">
        <v>42</v>
      </c>
    </row>
    <row r="31" spans="1:11">
      <c r="A31" s="6">
        <v>44233</v>
      </c>
      <c r="B31" s="7" t="s">
        <v>57</v>
      </c>
      <c r="C31" s="7" t="s">
        <v>58</v>
      </c>
      <c r="D31" s="7">
        <v>2.5</v>
      </c>
      <c r="E31" s="7">
        <v>522</v>
      </c>
      <c r="F31" s="7">
        <v>47</v>
      </c>
      <c r="G31" s="7" t="s">
        <v>23</v>
      </c>
      <c r="H31" s="7">
        <v>4.49</v>
      </c>
      <c r="I31" s="7">
        <v>244</v>
      </c>
      <c r="J31" s="7">
        <v>476</v>
      </c>
      <c r="K31" s="7" t="s">
        <v>59</v>
      </c>
    </row>
    <row r="32" spans="1:11">
      <c r="A32" s="6">
        <v>44235</v>
      </c>
      <c r="B32" s="7" t="s">
        <v>60</v>
      </c>
      <c r="C32" s="7" t="s">
        <v>58</v>
      </c>
      <c r="D32" s="7">
        <v>2.5</v>
      </c>
      <c r="E32" s="7">
        <v>522</v>
      </c>
      <c r="F32" s="7">
        <v>47</v>
      </c>
      <c r="G32" s="7" t="s">
        <v>23</v>
      </c>
      <c r="H32" s="7">
        <v>3.62</v>
      </c>
      <c r="I32" s="7">
        <v>213</v>
      </c>
      <c r="J32" s="7">
        <v>426</v>
      </c>
      <c r="K32" s="7" t="s">
        <v>42</v>
      </c>
    </row>
    <row r="33" spans="1:11">
      <c r="A33" s="6">
        <v>44235</v>
      </c>
      <c r="B33" s="7" t="s">
        <v>61</v>
      </c>
      <c r="C33" s="7" t="s">
        <v>58</v>
      </c>
      <c r="D33" s="7">
        <v>2.5</v>
      </c>
      <c r="E33" s="7">
        <v>522</v>
      </c>
      <c r="F33" s="7">
        <v>47</v>
      </c>
      <c r="G33" s="7" t="s">
        <v>23</v>
      </c>
      <c r="H33" s="7">
        <v>4.84</v>
      </c>
      <c r="I33" s="7">
        <v>198</v>
      </c>
      <c r="J33" s="7">
        <v>417</v>
      </c>
      <c r="K33" s="7" t="s">
        <v>62</v>
      </c>
    </row>
    <row r="34" spans="1:11">
      <c r="A34" s="6">
        <v>44232</v>
      </c>
      <c r="B34" s="7" t="s">
        <v>63</v>
      </c>
      <c r="C34" s="7" t="s">
        <v>64</v>
      </c>
      <c r="D34" s="7">
        <v>4</v>
      </c>
      <c r="E34" s="7">
        <v>468</v>
      </c>
      <c r="F34" s="7">
        <v>46</v>
      </c>
      <c r="G34" s="7" t="s">
        <v>2</v>
      </c>
      <c r="H34" s="7">
        <v>5.19</v>
      </c>
      <c r="I34" s="7">
        <v>193</v>
      </c>
      <c r="J34" s="7">
        <v>455</v>
      </c>
      <c r="K34" s="7" t="s">
        <v>62</v>
      </c>
    </row>
    <row r="35" spans="1:11">
      <c r="A35" s="6">
        <v>44232</v>
      </c>
      <c r="B35" s="7" t="s">
        <v>65</v>
      </c>
      <c r="C35" s="7" t="s">
        <v>64</v>
      </c>
      <c r="D35" s="7">
        <v>4</v>
      </c>
      <c r="E35" s="7">
        <v>468</v>
      </c>
      <c r="F35" s="7">
        <v>46</v>
      </c>
      <c r="G35" s="7" t="s">
        <v>2</v>
      </c>
      <c r="H35" s="7">
        <v>4.33</v>
      </c>
      <c r="I35" s="7">
        <v>252</v>
      </c>
      <c r="J35" s="7">
        <v>548</v>
      </c>
      <c r="K35" s="7" t="s">
        <v>66</v>
      </c>
    </row>
    <row r="36" spans="1:11">
      <c r="A36" s="6">
        <v>44232</v>
      </c>
      <c r="B36" s="7" t="s">
        <v>67</v>
      </c>
      <c r="C36" s="7" t="s">
        <v>64</v>
      </c>
      <c r="D36" s="7">
        <v>4</v>
      </c>
      <c r="E36" s="7">
        <v>468</v>
      </c>
      <c r="F36" s="7">
        <v>46</v>
      </c>
      <c r="G36" s="7" t="s">
        <v>2</v>
      </c>
      <c r="H36" s="7">
        <v>3.85</v>
      </c>
      <c r="I36" s="7">
        <v>273</v>
      </c>
      <c r="J36" s="7">
        <v>615</v>
      </c>
      <c r="K36" s="7" t="s">
        <v>66</v>
      </c>
    </row>
    <row r="37" spans="1:11">
      <c r="A37" s="6">
        <v>44233</v>
      </c>
      <c r="B37" s="7" t="s">
        <v>68</v>
      </c>
      <c r="C37" s="7" t="s">
        <v>69</v>
      </c>
      <c r="D37" s="7">
        <v>4.5</v>
      </c>
      <c r="E37" s="7">
        <v>468</v>
      </c>
      <c r="F37" s="7">
        <v>46</v>
      </c>
      <c r="G37" s="7" t="s">
        <v>23</v>
      </c>
      <c r="H37" s="7">
        <v>3.8</v>
      </c>
      <c r="I37" s="7">
        <v>232</v>
      </c>
      <c r="J37" s="7">
        <v>514</v>
      </c>
      <c r="K37" s="7" t="s">
        <v>66</v>
      </c>
    </row>
    <row r="38" spans="1:11">
      <c r="A38" s="6">
        <v>44233</v>
      </c>
      <c r="B38" s="7" t="s">
        <v>70</v>
      </c>
      <c r="C38" s="7" t="s">
        <v>69</v>
      </c>
      <c r="D38" s="7">
        <v>4.5</v>
      </c>
      <c r="E38" s="7">
        <v>468</v>
      </c>
      <c r="F38" s="7">
        <v>46</v>
      </c>
      <c r="G38" s="7" t="s">
        <v>23</v>
      </c>
      <c r="H38" s="7">
        <v>3.63</v>
      </c>
      <c r="I38" s="7">
        <v>254</v>
      </c>
      <c r="J38" s="7">
        <v>574</v>
      </c>
      <c r="K38" s="7" t="s">
        <v>66</v>
      </c>
    </row>
    <row r="39" spans="1:11">
      <c r="A39" s="6">
        <v>44233</v>
      </c>
      <c r="B39" s="7" t="s">
        <v>71</v>
      </c>
      <c r="C39" s="7" t="s">
        <v>69</v>
      </c>
      <c r="D39" s="7">
        <v>4.5</v>
      </c>
      <c r="E39" s="7">
        <v>468</v>
      </c>
      <c r="F39" s="7">
        <v>46</v>
      </c>
      <c r="G39" s="7" t="s">
        <v>23</v>
      </c>
      <c r="H39" s="7">
        <v>3.58</v>
      </c>
      <c r="I39" s="7">
        <v>194</v>
      </c>
      <c r="J39" s="7">
        <v>417</v>
      </c>
      <c r="K39" s="7" t="s">
        <v>66</v>
      </c>
    </row>
    <row r="40" spans="1:11">
      <c r="A40" s="6">
        <v>44746</v>
      </c>
      <c r="B40" s="7" t="s">
        <v>72</v>
      </c>
      <c r="C40" s="7" t="s">
        <v>73</v>
      </c>
      <c r="D40" s="7">
        <v>5</v>
      </c>
      <c r="E40" s="7">
        <v>433</v>
      </c>
      <c r="F40" s="7">
        <v>37</v>
      </c>
      <c r="G40" s="7" t="s">
        <v>2</v>
      </c>
      <c r="H40" s="7">
        <v>3.36</v>
      </c>
      <c r="I40" s="7">
        <v>211</v>
      </c>
      <c r="J40" s="7">
        <v>507</v>
      </c>
      <c r="K40" s="7" t="s">
        <v>3</v>
      </c>
    </row>
    <row r="41" spans="1:11">
      <c r="A41" s="6">
        <v>44236</v>
      </c>
      <c r="B41" s="7" t="s">
        <v>74</v>
      </c>
      <c r="C41" s="7" t="s">
        <v>73</v>
      </c>
      <c r="D41" s="7">
        <v>5</v>
      </c>
      <c r="E41" s="7">
        <v>433</v>
      </c>
      <c r="F41" s="7">
        <v>37</v>
      </c>
      <c r="G41" s="7" t="s">
        <v>2</v>
      </c>
      <c r="H41" s="7">
        <v>3.17</v>
      </c>
      <c r="I41" s="7">
        <v>212</v>
      </c>
      <c r="J41" s="7">
        <v>508</v>
      </c>
      <c r="K41" s="7" t="s">
        <v>66</v>
      </c>
    </row>
    <row r="42" spans="1:11">
      <c r="A42" s="6">
        <v>44236</v>
      </c>
      <c r="B42" s="7" t="s">
        <v>75</v>
      </c>
      <c r="C42" s="7" t="s">
        <v>73</v>
      </c>
      <c r="D42" s="7">
        <v>5</v>
      </c>
      <c r="E42" s="7">
        <v>433</v>
      </c>
      <c r="F42" s="7">
        <v>37</v>
      </c>
      <c r="G42" s="7" t="s">
        <v>2</v>
      </c>
      <c r="H42" s="7">
        <v>3.97</v>
      </c>
      <c r="I42" s="7">
        <v>209</v>
      </c>
      <c r="J42" s="7">
        <v>492</v>
      </c>
      <c r="K42" s="7" t="s">
        <v>66</v>
      </c>
    </row>
    <row r="43" spans="1:11">
      <c r="A43" s="6">
        <v>44236</v>
      </c>
      <c r="B43" s="7" t="s">
        <v>76</v>
      </c>
      <c r="C43" s="7" t="s">
        <v>73</v>
      </c>
      <c r="D43" s="7">
        <v>5</v>
      </c>
      <c r="E43" s="7">
        <v>433</v>
      </c>
      <c r="F43" s="7">
        <v>37</v>
      </c>
      <c r="G43" s="7" t="s">
        <v>2</v>
      </c>
      <c r="H43" s="7">
        <v>3.4</v>
      </c>
      <c r="I43" s="7">
        <v>202</v>
      </c>
      <c r="J43" s="7">
        <v>485</v>
      </c>
      <c r="K43" s="7" t="s">
        <v>66</v>
      </c>
    </row>
    <row r="44" spans="1:11">
      <c r="A44" s="6">
        <v>44643</v>
      </c>
      <c r="B44" s="7" t="s">
        <v>77</v>
      </c>
      <c r="C44" s="7" t="s">
        <v>78</v>
      </c>
      <c r="D44" s="7">
        <v>5.5</v>
      </c>
      <c r="E44" s="7">
        <v>433</v>
      </c>
      <c r="F44" s="7">
        <v>37</v>
      </c>
      <c r="G44" s="7" t="s">
        <v>23</v>
      </c>
      <c r="H44" s="7">
        <v>1.76</v>
      </c>
      <c r="I44" s="7">
        <v>146</v>
      </c>
      <c r="J44" s="7">
        <v>363</v>
      </c>
      <c r="K44" s="7" t="s">
        <v>79</v>
      </c>
    </row>
    <row r="45" spans="1:11">
      <c r="A45" s="6">
        <v>44746</v>
      </c>
      <c r="B45" s="7" t="s">
        <v>80</v>
      </c>
      <c r="C45" s="7" t="s">
        <v>78</v>
      </c>
      <c r="D45" s="7">
        <v>5.5</v>
      </c>
      <c r="E45" s="7">
        <v>433</v>
      </c>
      <c r="F45" s="7">
        <v>37</v>
      </c>
      <c r="G45" s="7" t="s">
        <v>23</v>
      </c>
      <c r="H45" s="7">
        <v>2.5299999999999998</v>
      </c>
      <c r="I45" s="7">
        <v>140</v>
      </c>
      <c r="J45" s="7">
        <v>347</v>
      </c>
      <c r="K45" s="7" t="s">
        <v>3</v>
      </c>
    </row>
    <row r="46" spans="1:11">
      <c r="A46" s="6">
        <v>44235</v>
      </c>
      <c r="B46" s="7" t="s">
        <v>81</v>
      </c>
      <c r="C46" s="7" t="s">
        <v>78</v>
      </c>
      <c r="D46" s="7">
        <v>5.5</v>
      </c>
      <c r="E46" s="7">
        <v>433</v>
      </c>
      <c r="F46" s="7">
        <v>37</v>
      </c>
      <c r="G46" s="7" t="s">
        <v>23</v>
      </c>
      <c r="H46" s="7">
        <v>2.5</v>
      </c>
      <c r="I46" s="7">
        <v>182</v>
      </c>
      <c r="J46" s="7">
        <v>433</v>
      </c>
      <c r="K46" s="7" t="s">
        <v>42</v>
      </c>
    </row>
    <row r="47" spans="1:11">
      <c r="A47" s="6">
        <v>44235</v>
      </c>
      <c r="B47" s="7" t="s">
        <v>82</v>
      </c>
      <c r="C47" s="7" t="s">
        <v>78</v>
      </c>
      <c r="D47" s="7">
        <v>5.5</v>
      </c>
      <c r="E47" s="7">
        <v>433</v>
      </c>
      <c r="F47" s="7">
        <v>37</v>
      </c>
      <c r="G47" s="7" t="s">
        <v>23</v>
      </c>
      <c r="H47" s="7">
        <v>2.59</v>
      </c>
      <c r="I47" s="7">
        <v>162</v>
      </c>
      <c r="J47" s="7">
        <v>383</v>
      </c>
      <c r="K47" s="7" t="s">
        <v>66</v>
      </c>
    </row>
    <row r="48" spans="1:11">
      <c r="A48" s="6">
        <v>44236</v>
      </c>
      <c r="B48" s="7" t="s">
        <v>83</v>
      </c>
      <c r="C48" s="7" t="s">
        <v>78</v>
      </c>
      <c r="D48" s="7">
        <v>5.5</v>
      </c>
      <c r="E48" s="7">
        <v>433</v>
      </c>
      <c r="F48" s="7">
        <v>37</v>
      </c>
      <c r="G48" s="7" t="s">
        <v>23</v>
      </c>
      <c r="H48" s="7">
        <v>1.8</v>
      </c>
      <c r="I48" s="7">
        <v>126</v>
      </c>
      <c r="J48" s="7">
        <v>306</v>
      </c>
      <c r="K48" s="7" t="s">
        <v>66</v>
      </c>
    </row>
    <row r="49" spans="2:8">
      <c r="B49" s="7" t="s">
        <v>84</v>
      </c>
      <c r="E49" s="7">
        <v>554</v>
      </c>
      <c r="F49" s="7">
        <v>44</v>
      </c>
      <c r="G49" s="7" t="s">
        <v>2</v>
      </c>
      <c r="H49" s="7">
        <v>4.5</v>
      </c>
    </row>
    <row r="50" spans="2:8">
      <c r="B50" s="7" t="s">
        <v>84</v>
      </c>
      <c r="E50" s="7">
        <v>500</v>
      </c>
      <c r="F50" s="7">
        <v>44</v>
      </c>
      <c r="G50" s="7" t="s">
        <v>23</v>
      </c>
      <c r="H50" s="7">
        <v>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E8DE-F5C9-43A1-8B83-A0941EA6BDBB}">
  <dimension ref="A1:K40"/>
  <sheetViews>
    <sheetView tabSelected="1" topLeftCell="A25" zoomScale="70" zoomScaleNormal="70" workbookViewId="0">
      <selection activeCell="B39" sqref="B39"/>
    </sheetView>
  </sheetViews>
  <sheetFormatPr defaultRowHeight="14.85"/>
  <cols>
    <col min="1" max="1" width="11.42578125" bestFit="1" customWidth="1"/>
    <col min="2" max="2" width="44.7109375" bestFit="1" customWidth="1"/>
    <col min="3" max="3" width="13" bestFit="1" customWidth="1"/>
    <col min="4" max="4" width="4.140625" bestFit="1" customWidth="1"/>
    <col min="5" max="5" width="4.42578125" bestFit="1" customWidth="1"/>
    <col min="6" max="6" width="3.28515625" bestFit="1" customWidth="1"/>
    <col min="7" max="7" width="18.140625" bestFit="1" customWidth="1"/>
    <col min="8" max="8" width="16.7109375" style="11" bestFit="1" customWidth="1"/>
    <col min="9" max="10" width="4.42578125" bestFit="1" customWidth="1"/>
    <col min="11" max="11" width="106" bestFit="1" customWidth="1"/>
  </cols>
  <sheetData>
    <row r="1" spans="1:11">
      <c r="A1" t="s">
        <v>85</v>
      </c>
      <c r="B1" t="s">
        <v>86</v>
      </c>
      <c r="C1" t="s">
        <v>86</v>
      </c>
      <c r="G1" t="s">
        <v>87</v>
      </c>
      <c r="H1" s="11" t="s">
        <v>88</v>
      </c>
    </row>
    <row r="2" spans="1:11" s="2" customFormat="1">
      <c r="A2" s="1">
        <v>44442</v>
      </c>
      <c r="B2" s="2" t="s">
        <v>0</v>
      </c>
      <c r="C2" s="2" t="s">
        <v>1</v>
      </c>
      <c r="D2" s="2">
        <v>1</v>
      </c>
      <c r="E2" s="2">
        <v>530</v>
      </c>
      <c r="F2" s="2">
        <v>49</v>
      </c>
      <c r="G2" s="2" t="s">
        <v>2</v>
      </c>
      <c r="H2" s="10">
        <v>4</v>
      </c>
      <c r="I2" s="2">
        <v>233</v>
      </c>
      <c r="J2" s="2">
        <v>502</v>
      </c>
      <c r="K2" s="2" t="s">
        <v>3</v>
      </c>
    </row>
    <row r="3" spans="1:11">
      <c r="A3" s="3">
        <v>44442</v>
      </c>
      <c r="B3" t="s">
        <v>4</v>
      </c>
      <c r="C3" t="s">
        <v>1</v>
      </c>
      <c r="D3">
        <v>1</v>
      </c>
      <c r="E3">
        <v>530</v>
      </c>
      <c r="F3">
        <v>49</v>
      </c>
      <c r="G3" t="s">
        <v>2</v>
      </c>
      <c r="H3" s="11">
        <v>5.05</v>
      </c>
      <c r="I3">
        <v>292</v>
      </c>
      <c r="J3">
        <v>645</v>
      </c>
      <c r="K3" t="s">
        <v>3</v>
      </c>
    </row>
    <row r="4" spans="1:11">
      <c r="A4" s="3">
        <v>44482</v>
      </c>
      <c r="B4" t="s">
        <v>13</v>
      </c>
      <c r="C4" t="s">
        <v>1</v>
      </c>
      <c r="D4">
        <v>1</v>
      </c>
      <c r="E4">
        <v>530</v>
      </c>
      <c r="F4">
        <v>49</v>
      </c>
      <c r="G4" t="s">
        <v>2</v>
      </c>
      <c r="H4" s="11">
        <v>5.42</v>
      </c>
      <c r="I4">
        <v>256</v>
      </c>
      <c r="J4">
        <v>591</v>
      </c>
      <c r="K4" t="s">
        <v>7</v>
      </c>
    </row>
    <row r="5" spans="1:11">
      <c r="A5" s="3">
        <v>44482</v>
      </c>
      <c r="B5" t="s">
        <v>15</v>
      </c>
      <c r="C5" t="s">
        <v>1</v>
      </c>
      <c r="D5">
        <v>1</v>
      </c>
      <c r="E5">
        <v>530</v>
      </c>
      <c r="F5">
        <v>49</v>
      </c>
      <c r="G5" t="s">
        <v>2</v>
      </c>
      <c r="H5" s="11">
        <v>5.68</v>
      </c>
      <c r="I5">
        <v>234</v>
      </c>
      <c r="J5">
        <v>505</v>
      </c>
      <c r="K5" t="s">
        <v>16</v>
      </c>
    </row>
    <row r="6" spans="1:11">
      <c r="A6" s="3">
        <v>44643</v>
      </c>
      <c r="B6" t="s">
        <v>17</v>
      </c>
      <c r="C6" t="s">
        <v>1</v>
      </c>
      <c r="D6">
        <v>1</v>
      </c>
      <c r="E6">
        <v>530</v>
      </c>
      <c r="F6">
        <v>49</v>
      </c>
      <c r="G6" t="s">
        <v>2</v>
      </c>
      <c r="H6" s="11">
        <v>4.7300000000000004</v>
      </c>
      <c r="I6">
        <v>242</v>
      </c>
      <c r="J6">
        <v>538</v>
      </c>
      <c r="K6" t="s">
        <v>3</v>
      </c>
    </row>
    <row r="7" spans="1:11">
      <c r="A7" s="3">
        <v>44746</v>
      </c>
      <c r="B7" t="s">
        <v>18</v>
      </c>
      <c r="C7" t="s">
        <v>1</v>
      </c>
      <c r="D7">
        <v>1</v>
      </c>
      <c r="E7">
        <v>530</v>
      </c>
      <c r="F7">
        <v>49</v>
      </c>
      <c r="G7" t="s">
        <v>2</v>
      </c>
      <c r="H7" s="11">
        <v>4.55</v>
      </c>
      <c r="I7">
        <v>234</v>
      </c>
      <c r="J7">
        <v>516</v>
      </c>
      <c r="K7" t="s">
        <v>3</v>
      </c>
    </row>
    <row r="8" spans="1:11">
      <c r="A8" s="3">
        <v>44511</v>
      </c>
      <c r="B8" t="s">
        <v>19</v>
      </c>
      <c r="C8" t="s">
        <v>1</v>
      </c>
      <c r="D8">
        <v>1</v>
      </c>
      <c r="E8">
        <v>530</v>
      </c>
      <c r="F8">
        <v>49</v>
      </c>
      <c r="G8" t="s">
        <v>2</v>
      </c>
      <c r="H8" s="11">
        <v>4.84</v>
      </c>
      <c r="I8">
        <v>236</v>
      </c>
      <c r="J8">
        <v>558</v>
      </c>
      <c r="K8" t="s">
        <v>20</v>
      </c>
    </row>
    <row r="9" spans="1:11">
      <c r="A9" s="3">
        <v>44450</v>
      </c>
      <c r="B9" t="s">
        <v>21</v>
      </c>
      <c r="C9" t="s">
        <v>22</v>
      </c>
      <c r="D9">
        <v>1.5</v>
      </c>
      <c r="E9">
        <v>530</v>
      </c>
      <c r="F9">
        <v>49</v>
      </c>
      <c r="G9" t="s">
        <v>23</v>
      </c>
      <c r="H9" s="11">
        <v>4.45</v>
      </c>
      <c r="I9">
        <v>631</v>
      </c>
      <c r="J9">
        <v>268</v>
      </c>
      <c r="K9" t="s">
        <v>3</v>
      </c>
    </row>
    <row r="10" spans="1:11">
      <c r="A10" s="3">
        <v>44450</v>
      </c>
      <c r="B10" t="s">
        <v>24</v>
      </c>
      <c r="C10" t="s">
        <v>22</v>
      </c>
      <c r="D10">
        <v>1.5</v>
      </c>
      <c r="E10">
        <v>530</v>
      </c>
      <c r="F10">
        <v>49</v>
      </c>
      <c r="G10" t="s">
        <v>23</v>
      </c>
      <c r="H10" s="11">
        <v>1.85</v>
      </c>
      <c r="I10">
        <v>143</v>
      </c>
      <c r="J10">
        <v>338</v>
      </c>
    </row>
    <row r="11" spans="1:11">
      <c r="A11" s="3">
        <v>44480</v>
      </c>
      <c r="B11" t="s">
        <v>25</v>
      </c>
      <c r="C11" t="s">
        <v>22</v>
      </c>
      <c r="D11">
        <v>1.5</v>
      </c>
      <c r="E11">
        <v>530</v>
      </c>
      <c r="F11">
        <v>49</v>
      </c>
      <c r="G11" t="s">
        <v>23</v>
      </c>
      <c r="H11" s="11">
        <v>4.28</v>
      </c>
      <c r="I11">
        <v>236</v>
      </c>
      <c r="J11">
        <v>500</v>
      </c>
      <c r="K11" t="s">
        <v>26</v>
      </c>
    </row>
    <row r="12" spans="1:11">
      <c r="A12" s="3">
        <v>44480</v>
      </c>
      <c r="B12" t="s">
        <v>27</v>
      </c>
      <c r="C12" t="s">
        <v>22</v>
      </c>
      <c r="D12">
        <v>1.5</v>
      </c>
      <c r="E12">
        <v>530</v>
      </c>
      <c r="F12">
        <v>49</v>
      </c>
      <c r="G12" t="s">
        <v>23</v>
      </c>
      <c r="H12" s="11">
        <v>3.64</v>
      </c>
      <c r="I12">
        <v>219</v>
      </c>
      <c r="J12">
        <v>500</v>
      </c>
      <c r="K12" t="s">
        <v>28</v>
      </c>
    </row>
    <row r="13" spans="1:11">
      <c r="A13" s="3">
        <v>44482</v>
      </c>
      <c r="B13" t="s">
        <v>33</v>
      </c>
      <c r="C13" t="s">
        <v>22</v>
      </c>
      <c r="D13">
        <v>1.5</v>
      </c>
      <c r="E13">
        <v>530</v>
      </c>
      <c r="F13">
        <v>49</v>
      </c>
      <c r="G13" t="s">
        <v>23</v>
      </c>
      <c r="H13" s="11">
        <v>4.32</v>
      </c>
      <c r="I13">
        <v>211</v>
      </c>
      <c r="J13">
        <v>487</v>
      </c>
      <c r="K13" t="s">
        <v>7</v>
      </c>
    </row>
    <row r="14" spans="1:11" s="5" customFormat="1" ht="15.6" thickBot="1">
      <c r="A14" s="4">
        <v>44746</v>
      </c>
      <c r="B14" s="5" t="s">
        <v>35</v>
      </c>
      <c r="C14" s="5" t="s">
        <v>22</v>
      </c>
      <c r="D14" s="5">
        <v>1.5</v>
      </c>
      <c r="E14" s="5">
        <v>530</v>
      </c>
      <c r="F14" s="5">
        <v>49</v>
      </c>
      <c r="G14" s="5" t="s">
        <v>23</v>
      </c>
      <c r="H14" s="12">
        <v>4.91</v>
      </c>
      <c r="I14" s="5">
        <v>248</v>
      </c>
      <c r="J14" s="5">
        <v>554</v>
      </c>
      <c r="K14" s="5" t="s">
        <v>3</v>
      </c>
    </row>
    <row r="15" spans="1:11" s="2" customFormat="1">
      <c r="A15" s="1">
        <v>44229</v>
      </c>
      <c r="B15" s="2" t="s">
        <v>40</v>
      </c>
      <c r="C15" s="2" t="s">
        <v>41</v>
      </c>
      <c r="D15" s="2">
        <v>3</v>
      </c>
      <c r="E15" s="2">
        <v>431</v>
      </c>
      <c r="F15" s="2">
        <v>42</v>
      </c>
      <c r="G15" s="2" t="s">
        <v>2</v>
      </c>
      <c r="H15" s="10">
        <v>3.95</v>
      </c>
      <c r="I15" s="2">
        <v>224</v>
      </c>
      <c r="J15" s="2">
        <v>521</v>
      </c>
      <c r="K15" s="2" t="s">
        <v>42</v>
      </c>
    </row>
    <row r="16" spans="1:11">
      <c r="A16" s="3">
        <v>44229</v>
      </c>
      <c r="B16" t="s">
        <v>43</v>
      </c>
      <c r="C16" t="s">
        <v>41</v>
      </c>
      <c r="D16">
        <v>3</v>
      </c>
      <c r="E16">
        <v>431</v>
      </c>
      <c r="F16">
        <v>42</v>
      </c>
      <c r="G16" t="s">
        <v>2</v>
      </c>
      <c r="H16" s="11">
        <v>3.76</v>
      </c>
      <c r="I16">
        <v>359</v>
      </c>
      <c r="J16">
        <v>864</v>
      </c>
      <c r="K16" t="s">
        <v>42</v>
      </c>
    </row>
    <row r="17" spans="1:11">
      <c r="A17" s="3">
        <v>44230</v>
      </c>
      <c r="B17" t="s">
        <v>44</v>
      </c>
      <c r="C17" t="s">
        <v>41</v>
      </c>
      <c r="D17">
        <v>3</v>
      </c>
      <c r="E17">
        <v>431</v>
      </c>
      <c r="F17">
        <v>42</v>
      </c>
      <c r="G17" t="s">
        <v>2</v>
      </c>
      <c r="H17" s="11">
        <v>3.62</v>
      </c>
      <c r="I17">
        <v>353</v>
      </c>
      <c r="J17">
        <v>868</v>
      </c>
      <c r="K17" t="s">
        <v>42</v>
      </c>
    </row>
    <row r="18" spans="1:11">
      <c r="A18" s="3">
        <v>44232</v>
      </c>
      <c r="B18" t="s">
        <v>45</v>
      </c>
      <c r="C18" t="s">
        <v>41</v>
      </c>
      <c r="D18">
        <v>3</v>
      </c>
      <c r="E18">
        <v>431</v>
      </c>
      <c r="F18">
        <v>42</v>
      </c>
      <c r="G18" t="s">
        <v>2</v>
      </c>
      <c r="H18" s="11">
        <v>3.46</v>
      </c>
      <c r="I18">
        <v>200</v>
      </c>
      <c r="J18">
        <v>475</v>
      </c>
      <c r="K18" t="s">
        <v>42</v>
      </c>
    </row>
    <row r="19" spans="1:11">
      <c r="A19" s="3">
        <v>44482</v>
      </c>
      <c r="B19" t="s">
        <v>46</v>
      </c>
      <c r="C19" t="s">
        <v>47</v>
      </c>
      <c r="D19">
        <v>3.5</v>
      </c>
      <c r="E19">
        <v>431</v>
      </c>
      <c r="F19">
        <v>42</v>
      </c>
      <c r="G19" t="s">
        <v>23</v>
      </c>
      <c r="H19" s="11">
        <v>2.93</v>
      </c>
      <c r="I19">
        <v>212</v>
      </c>
      <c r="J19">
        <v>515</v>
      </c>
      <c r="K19" t="s">
        <v>3</v>
      </c>
    </row>
    <row r="20" spans="1:11" s="5" customFormat="1" ht="15.6" thickBot="1">
      <c r="A20" s="4">
        <v>44231</v>
      </c>
      <c r="B20" s="5" t="s">
        <v>51</v>
      </c>
      <c r="C20" s="5" t="s">
        <v>47</v>
      </c>
      <c r="D20" s="5">
        <v>3.5</v>
      </c>
      <c r="E20" s="5">
        <v>431</v>
      </c>
      <c r="F20" s="5">
        <v>42</v>
      </c>
      <c r="G20" s="5" t="s">
        <v>23</v>
      </c>
      <c r="H20" s="12">
        <v>2.77</v>
      </c>
      <c r="I20" s="5">
        <v>150</v>
      </c>
      <c r="J20" s="5">
        <v>351</v>
      </c>
      <c r="K20" s="5" t="s">
        <v>42</v>
      </c>
    </row>
    <row r="21" spans="1:11" s="2" customFormat="1">
      <c r="A21" s="1">
        <v>44231</v>
      </c>
      <c r="B21" s="2" t="s">
        <v>55</v>
      </c>
      <c r="C21" s="2" t="s">
        <v>53</v>
      </c>
      <c r="D21" s="2">
        <v>2</v>
      </c>
      <c r="E21" s="2">
        <v>522</v>
      </c>
      <c r="F21" s="2">
        <v>47</v>
      </c>
      <c r="G21" s="2" t="s">
        <v>2</v>
      </c>
      <c r="H21" s="10">
        <v>5.44</v>
      </c>
      <c r="I21" s="2">
        <v>283</v>
      </c>
      <c r="J21" s="2">
        <v>590</v>
      </c>
      <c r="K21" s="2" t="s">
        <v>42</v>
      </c>
    </row>
    <row r="22" spans="1:11">
      <c r="A22" s="3">
        <v>44231</v>
      </c>
      <c r="B22" t="s">
        <v>56</v>
      </c>
      <c r="C22" t="s">
        <v>53</v>
      </c>
      <c r="D22">
        <v>2</v>
      </c>
      <c r="E22">
        <v>522</v>
      </c>
      <c r="F22">
        <v>47</v>
      </c>
      <c r="G22" t="s">
        <v>2</v>
      </c>
      <c r="H22" s="11">
        <v>4.51</v>
      </c>
      <c r="I22">
        <v>258</v>
      </c>
      <c r="J22">
        <v>510</v>
      </c>
      <c r="K22" t="s">
        <v>42</v>
      </c>
    </row>
    <row r="23" spans="1:11">
      <c r="A23" s="3">
        <v>44233</v>
      </c>
      <c r="B23" t="s">
        <v>57</v>
      </c>
      <c r="C23" t="s">
        <v>58</v>
      </c>
      <c r="D23">
        <v>2.5</v>
      </c>
      <c r="E23">
        <v>522</v>
      </c>
      <c r="F23">
        <v>47</v>
      </c>
      <c r="G23" t="s">
        <v>23</v>
      </c>
      <c r="H23" s="11">
        <v>4.49</v>
      </c>
      <c r="I23">
        <v>244</v>
      </c>
      <c r="J23">
        <v>476</v>
      </c>
      <c r="K23" t="s">
        <v>59</v>
      </c>
    </row>
    <row r="24" spans="1:11" s="5" customFormat="1" ht="15.6" thickBot="1">
      <c r="A24" s="4">
        <v>44235</v>
      </c>
      <c r="B24" s="5" t="s">
        <v>60</v>
      </c>
      <c r="C24" s="5" t="s">
        <v>58</v>
      </c>
      <c r="D24" s="5">
        <v>2.5</v>
      </c>
      <c r="E24" s="5">
        <v>522</v>
      </c>
      <c r="F24" s="5">
        <v>47</v>
      </c>
      <c r="G24" s="5" t="s">
        <v>23</v>
      </c>
      <c r="H24" s="12">
        <v>3.62</v>
      </c>
      <c r="I24" s="5">
        <v>213</v>
      </c>
      <c r="J24" s="5">
        <v>426</v>
      </c>
      <c r="K24" s="5" t="s">
        <v>42</v>
      </c>
    </row>
    <row r="25" spans="1:11">
      <c r="A25" s="3">
        <v>44232</v>
      </c>
      <c r="B25" t="s">
        <v>65</v>
      </c>
      <c r="C25" t="s">
        <v>64</v>
      </c>
      <c r="D25">
        <v>4</v>
      </c>
      <c r="E25">
        <v>468</v>
      </c>
      <c r="F25">
        <v>46</v>
      </c>
      <c r="G25" t="s">
        <v>2</v>
      </c>
      <c r="H25" s="11">
        <v>4.33</v>
      </c>
      <c r="I25">
        <v>252</v>
      </c>
      <c r="J25">
        <v>548</v>
      </c>
      <c r="K25" t="s">
        <v>66</v>
      </c>
    </row>
    <row r="26" spans="1:11">
      <c r="A26" s="3">
        <v>44232</v>
      </c>
      <c r="B26" t="s">
        <v>67</v>
      </c>
      <c r="C26" t="s">
        <v>64</v>
      </c>
      <c r="D26">
        <v>4</v>
      </c>
      <c r="E26">
        <v>468</v>
      </c>
      <c r="F26">
        <v>46</v>
      </c>
      <c r="G26" t="s">
        <v>2</v>
      </c>
      <c r="H26" s="11">
        <v>3.85</v>
      </c>
      <c r="I26">
        <v>273</v>
      </c>
      <c r="J26">
        <v>615</v>
      </c>
      <c r="K26" t="s">
        <v>66</v>
      </c>
    </row>
    <row r="27" spans="1:11">
      <c r="A27" s="3">
        <v>44233</v>
      </c>
      <c r="B27" t="s">
        <v>68</v>
      </c>
      <c r="C27" t="s">
        <v>69</v>
      </c>
      <c r="D27">
        <v>4.5</v>
      </c>
      <c r="E27">
        <v>468</v>
      </c>
      <c r="F27">
        <v>46</v>
      </c>
      <c r="G27" t="s">
        <v>23</v>
      </c>
      <c r="H27" s="11">
        <v>3.8</v>
      </c>
      <c r="I27">
        <v>232</v>
      </c>
      <c r="J27">
        <v>514</v>
      </c>
      <c r="K27" t="s">
        <v>66</v>
      </c>
    </row>
    <row r="28" spans="1:11">
      <c r="A28" s="3">
        <v>44233</v>
      </c>
      <c r="B28" t="s">
        <v>70</v>
      </c>
      <c r="C28" t="s">
        <v>69</v>
      </c>
      <c r="D28">
        <v>4.5</v>
      </c>
      <c r="E28">
        <v>468</v>
      </c>
      <c r="F28">
        <v>46</v>
      </c>
      <c r="G28" t="s">
        <v>23</v>
      </c>
      <c r="H28" s="11">
        <v>3.63</v>
      </c>
      <c r="I28">
        <v>254</v>
      </c>
      <c r="J28">
        <v>574</v>
      </c>
      <c r="K28" t="s">
        <v>66</v>
      </c>
    </row>
    <row r="29" spans="1:11" s="5" customFormat="1" ht="15.6" thickBot="1">
      <c r="A29" s="4">
        <v>44233</v>
      </c>
      <c r="B29" s="5" t="s">
        <v>71</v>
      </c>
      <c r="C29" s="5" t="s">
        <v>69</v>
      </c>
      <c r="D29" s="5">
        <v>4.5</v>
      </c>
      <c r="E29" s="5">
        <v>468</v>
      </c>
      <c r="F29" s="5">
        <v>46</v>
      </c>
      <c r="G29" s="5" t="s">
        <v>23</v>
      </c>
      <c r="H29" s="12">
        <v>3.58</v>
      </c>
      <c r="I29" s="5">
        <v>194</v>
      </c>
      <c r="J29" s="5">
        <v>417</v>
      </c>
      <c r="K29" s="5" t="s">
        <v>66</v>
      </c>
    </row>
    <row r="30" spans="1:11" s="2" customFormat="1">
      <c r="A30" s="1">
        <v>44746</v>
      </c>
      <c r="B30" s="2" t="s">
        <v>72</v>
      </c>
      <c r="C30" s="2" t="s">
        <v>73</v>
      </c>
      <c r="D30" s="2">
        <v>5</v>
      </c>
      <c r="E30" s="2">
        <v>433</v>
      </c>
      <c r="F30" s="2">
        <v>37</v>
      </c>
      <c r="G30" s="2" t="s">
        <v>2</v>
      </c>
      <c r="H30" s="10">
        <v>3.36</v>
      </c>
      <c r="I30" s="2">
        <v>211</v>
      </c>
      <c r="J30" s="2">
        <v>507</v>
      </c>
      <c r="K30" s="2" t="s">
        <v>3</v>
      </c>
    </row>
    <row r="31" spans="1:11">
      <c r="A31" s="3">
        <v>44236</v>
      </c>
      <c r="B31" t="s">
        <v>74</v>
      </c>
      <c r="C31" t="s">
        <v>73</v>
      </c>
      <c r="D31">
        <v>5</v>
      </c>
      <c r="E31">
        <v>433</v>
      </c>
      <c r="F31">
        <v>37</v>
      </c>
      <c r="G31" t="s">
        <v>2</v>
      </c>
      <c r="H31" s="11">
        <v>3.17</v>
      </c>
      <c r="I31">
        <v>212</v>
      </c>
      <c r="J31">
        <v>508</v>
      </c>
      <c r="K31" t="s">
        <v>66</v>
      </c>
    </row>
    <row r="32" spans="1:11">
      <c r="A32" s="3">
        <v>44236</v>
      </c>
      <c r="B32" t="s">
        <v>75</v>
      </c>
      <c r="C32" t="s">
        <v>73</v>
      </c>
      <c r="D32">
        <v>5</v>
      </c>
      <c r="E32">
        <v>433</v>
      </c>
      <c r="F32">
        <v>37</v>
      </c>
      <c r="G32" t="s">
        <v>2</v>
      </c>
      <c r="H32" s="11">
        <v>3.97</v>
      </c>
      <c r="I32">
        <v>209</v>
      </c>
      <c r="J32">
        <v>492</v>
      </c>
      <c r="K32" t="s">
        <v>66</v>
      </c>
    </row>
    <row r="33" spans="1:11">
      <c r="A33" s="3">
        <v>44236</v>
      </c>
      <c r="B33" t="s">
        <v>76</v>
      </c>
      <c r="C33" t="s">
        <v>73</v>
      </c>
      <c r="D33">
        <v>5</v>
      </c>
      <c r="E33">
        <v>433</v>
      </c>
      <c r="F33">
        <v>37</v>
      </c>
      <c r="G33" t="s">
        <v>2</v>
      </c>
      <c r="H33" s="11">
        <v>3.4</v>
      </c>
      <c r="I33">
        <v>202</v>
      </c>
      <c r="J33">
        <v>485</v>
      </c>
      <c r="K33" t="s">
        <v>66</v>
      </c>
    </row>
    <row r="34" spans="1:11">
      <c r="A34" s="3">
        <v>44643</v>
      </c>
      <c r="B34" t="s">
        <v>77</v>
      </c>
      <c r="C34" t="s">
        <v>78</v>
      </c>
      <c r="D34">
        <v>5.5</v>
      </c>
      <c r="E34">
        <v>433</v>
      </c>
      <c r="F34">
        <v>37</v>
      </c>
      <c r="G34" t="s">
        <v>23</v>
      </c>
      <c r="H34" s="11">
        <v>1.76</v>
      </c>
      <c r="I34">
        <v>146</v>
      </c>
      <c r="J34">
        <v>363</v>
      </c>
      <c r="K34" t="s">
        <v>79</v>
      </c>
    </row>
    <row r="35" spans="1:11">
      <c r="A35" s="3">
        <v>44746</v>
      </c>
      <c r="B35" t="s">
        <v>80</v>
      </c>
      <c r="C35" t="s">
        <v>78</v>
      </c>
      <c r="D35">
        <v>5.5</v>
      </c>
      <c r="E35">
        <v>433</v>
      </c>
      <c r="F35">
        <v>37</v>
      </c>
      <c r="G35" t="s">
        <v>23</v>
      </c>
      <c r="H35" s="11">
        <v>2.5299999999999998</v>
      </c>
      <c r="I35">
        <v>140</v>
      </c>
      <c r="J35">
        <v>347</v>
      </c>
      <c r="K35" t="s">
        <v>3</v>
      </c>
    </row>
    <row r="36" spans="1:11">
      <c r="A36" s="3">
        <v>44235</v>
      </c>
      <c r="B36" t="s">
        <v>81</v>
      </c>
      <c r="C36" t="s">
        <v>78</v>
      </c>
      <c r="D36">
        <v>5.5</v>
      </c>
      <c r="E36">
        <v>433</v>
      </c>
      <c r="F36">
        <v>37</v>
      </c>
      <c r="G36" t="s">
        <v>23</v>
      </c>
      <c r="H36" s="11">
        <v>2.5</v>
      </c>
      <c r="I36">
        <v>182</v>
      </c>
      <c r="J36">
        <v>433</v>
      </c>
      <c r="K36" t="s">
        <v>42</v>
      </c>
    </row>
    <row r="37" spans="1:11">
      <c r="A37" s="3">
        <v>44235</v>
      </c>
      <c r="B37" t="s">
        <v>82</v>
      </c>
      <c r="C37" t="s">
        <v>78</v>
      </c>
      <c r="D37">
        <v>5.5</v>
      </c>
      <c r="E37">
        <v>433</v>
      </c>
      <c r="F37">
        <v>37</v>
      </c>
      <c r="G37" t="s">
        <v>23</v>
      </c>
      <c r="H37" s="11">
        <v>2.59</v>
      </c>
      <c r="I37">
        <v>162</v>
      </c>
      <c r="J37">
        <v>383</v>
      </c>
      <c r="K37" t="s">
        <v>66</v>
      </c>
    </row>
    <row r="38" spans="1:11" s="5" customFormat="1" ht="15.6" thickBot="1">
      <c r="A38" s="4">
        <v>44236</v>
      </c>
      <c r="B38" s="5" t="s">
        <v>83</v>
      </c>
      <c r="C38" s="5" t="s">
        <v>78</v>
      </c>
      <c r="D38" s="5">
        <v>5.5</v>
      </c>
      <c r="E38" s="5">
        <v>433</v>
      </c>
      <c r="F38" s="5">
        <v>37</v>
      </c>
      <c r="G38" s="5" t="s">
        <v>23</v>
      </c>
      <c r="H38" s="12">
        <v>1.8</v>
      </c>
      <c r="I38" s="5">
        <v>126</v>
      </c>
      <c r="J38" s="5">
        <v>306</v>
      </c>
      <c r="K38" s="5" t="s">
        <v>66</v>
      </c>
    </row>
    <row r="39" spans="1:11">
      <c r="B39" t="s">
        <v>84</v>
      </c>
      <c r="E39">
        <v>554</v>
      </c>
      <c r="F39">
        <v>44</v>
      </c>
      <c r="G39" t="s">
        <v>2</v>
      </c>
      <c r="H39" s="11">
        <v>4.5</v>
      </c>
    </row>
    <row r="40" spans="1:11">
      <c r="B40" t="s">
        <v>84</v>
      </c>
      <c r="E40">
        <v>500</v>
      </c>
      <c r="F40">
        <v>44</v>
      </c>
      <c r="G40" t="s">
        <v>23</v>
      </c>
      <c r="H40" s="11">
        <v>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02E5-05A9-4F19-93CB-33094ECCF2C6}">
  <dimension ref="A1:K10"/>
  <sheetViews>
    <sheetView zoomScaleNormal="100" workbookViewId="0">
      <selection activeCell="I9" sqref="I9"/>
    </sheetView>
  </sheetViews>
  <sheetFormatPr defaultRowHeight="14.85"/>
  <cols>
    <col min="2" max="2" width="37.85546875" bestFit="1" customWidth="1"/>
  </cols>
  <sheetData>
    <row r="1" spans="1:11">
      <c r="H1" t="s">
        <v>89</v>
      </c>
      <c r="I1" t="s">
        <v>90</v>
      </c>
      <c r="J1" t="s">
        <v>91</v>
      </c>
    </row>
    <row r="2" spans="1:11">
      <c r="A2" s="3">
        <v>44450</v>
      </c>
      <c r="B2" t="s">
        <v>21</v>
      </c>
      <c r="C2" t="s">
        <v>22</v>
      </c>
      <c r="D2">
        <v>1.5</v>
      </c>
      <c r="E2">
        <v>530</v>
      </c>
      <c r="F2">
        <v>49</v>
      </c>
      <c r="G2" t="s">
        <v>23</v>
      </c>
      <c r="H2">
        <v>4.45</v>
      </c>
      <c r="I2">
        <v>631</v>
      </c>
      <c r="J2">
        <v>268</v>
      </c>
      <c r="K2" t="s">
        <v>3</v>
      </c>
    </row>
    <row r="3" spans="1:11">
      <c r="A3" s="3">
        <v>44450</v>
      </c>
      <c r="B3" t="s">
        <v>24</v>
      </c>
      <c r="C3" t="s">
        <v>22</v>
      </c>
      <c r="D3">
        <v>1.5</v>
      </c>
      <c r="E3">
        <v>530</v>
      </c>
      <c r="F3">
        <v>49</v>
      </c>
      <c r="G3" t="s">
        <v>23</v>
      </c>
      <c r="H3" s="9">
        <v>1.85</v>
      </c>
      <c r="I3">
        <v>338</v>
      </c>
      <c r="J3">
        <v>143</v>
      </c>
    </row>
    <row r="4" spans="1:11">
      <c r="A4" s="3">
        <v>44480</v>
      </c>
      <c r="B4" t="s">
        <v>25</v>
      </c>
      <c r="C4" t="s">
        <v>22</v>
      </c>
      <c r="D4">
        <v>1.5</v>
      </c>
      <c r="E4">
        <v>530</v>
      </c>
      <c r="F4">
        <v>49</v>
      </c>
      <c r="G4" t="s">
        <v>23</v>
      </c>
      <c r="H4">
        <v>4.28</v>
      </c>
      <c r="I4">
        <v>422</v>
      </c>
      <c r="J4">
        <v>236</v>
      </c>
      <c r="K4" t="s">
        <v>26</v>
      </c>
    </row>
    <row r="5" spans="1:11">
      <c r="A5" s="3">
        <v>44480</v>
      </c>
      <c r="B5" t="s">
        <v>27</v>
      </c>
      <c r="C5" t="s">
        <v>22</v>
      </c>
      <c r="D5">
        <v>1.5</v>
      </c>
      <c r="E5">
        <v>530</v>
      </c>
      <c r="F5">
        <v>49</v>
      </c>
      <c r="G5" t="s">
        <v>23</v>
      </c>
      <c r="H5">
        <v>3.64</v>
      </c>
      <c r="I5">
        <v>500</v>
      </c>
      <c r="J5">
        <v>219</v>
      </c>
      <c r="K5" t="s">
        <v>28</v>
      </c>
    </row>
    <row r="6" spans="1:11">
      <c r="A6" s="3">
        <v>44482</v>
      </c>
      <c r="B6" t="s">
        <v>33</v>
      </c>
      <c r="C6" t="s">
        <v>22</v>
      </c>
      <c r="D6">
        <v>1.5</v>
      </c>
      <c r="E6">
        <v>530</v>
      </c>
      <c r="F6">
        <v>49</v>
      </c>
      <c r="G6" t="s">
        <v>23</v>
      </c>
      <c r="H6">
        <v>4.32</v>
      </c>
      <c r="I6">
        <v>487</v>
      </c>
      <c r="J6">
        <v>2111</v>
      </c>
      <c r="K6" t="s">
        <v>7</v>
      </c>
    </row>
    <row r="7" spans="1:11" s="5" customFormat="1" ht="15.6" thickBot="1">
      <c r="A7" s="4">
        <v>44746</v>
      </c>
      <c r="B7" s="5" t="s">
        <v>35</v>
      </c>
      <c r="C7" s="5" t="s">
        <v>22</v>
      </c>
      <c r="D7" s="5">
        <v>1.5</v>
      </c>
      <c r="E7" s="5">
        <v>530</v>
      </c>
      <c r="F7" s="5">
        <v>49</v>
      </c>
      <c r="G7" s="5" t="s">
        <v>23</v>
      </c>
      <c r="H7" s="5">
        <v>4.91</v>
      </c>
      <c r="I7" s="5">
        <v>458</v>
      </c>
      <c r="J7" s="5">
        <v>248</v>
      </c>
      <c r="K7" s="5" t="s">
        <v>3</v>
      </c>
    </row>
    <row r="9" spans="1:11">
      <c r="G9" t="s">
        <v>92</v>
      </c>
      <c r="H9" s="8">
        <f>AVERAGE(H2,H4:H7)</f>
        <v>4.32</v>
      </c>
      <c r="I9" s="8">
        <f>AVERAGE(I2,I4:I7)</f>
        <v>499.6</v>
      </c>
    </row>
    <row r="10" spans="1:11">
      <c r="G10" t="s">
        <v>93</v>
      </c>
      <c r="H10" s="8">
        <f>STDEV(H2,H4:H7)</f>
        <v>0.4552471856036015</v>
      </c>
      <c r="I10" s="8">
        <f>STDEV(I2,I4:I7)</f>
        <v>79.336624581588978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Arezoo Zare</dc:creator>
  <cp:keywords/>
  <dc:description/>
  <cp:lastModifiedBy>Takada, Douglas Ryu</cp:lastModifiedBy>
  <cp:revision/>
  <dcterms:created xsi:type="dcterms:W3CDTF">2022-07-31T21:21:01Z</dcterms:created>
  <dcterms:modified xsi:type="dcterms:W3CDTF">2024-08-30T19:12:52Z</dcterms:modified>
  <cp:category/>
  <cp:contentStatus/>
</cp:coreProperties>
</file>